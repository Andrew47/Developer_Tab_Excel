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LOG\VBA Notes\"/>
    </mc:Choice>
  </mc:AlternateContent>
  <bookViews>
    <workbookView xWindow="0" yWindow="0" windowWidth="20490" windowHeight="7620" activeTab="1"/>
  </bookViews>
  <sheets>
    <sheet name="VBA Code Basics" sheetId="1" r:id="rId1"/>
    <sheet name="Without VBA" sheetId="2" r:id="rId2"/>
    <sheet name="Raw Data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4" i="3" l="1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F64" i="3"/>
  <c r="E64" i="3"/>
  <c r="E63" i="3"/>
  <c r="F62" i="3"/>
  <c r="E62" i="3"/>
  <c r="E61" i="3"/>
  <c r="F60" i="3"/>
  <c r="E60" i="3"/>
  <c r="E59" i="3"/>
  <c r="F58" i="3"/>
  <c r="E58" i="3"/>
  <c r="E57" i="3"/>
  <c r="F56" i="3"/>
  <c r="E56" i="3"/>
  <c r="E55" i="3"/>
  <c r="F54" i="3"/>
  <c r="E54" i="3"/>
  <c r="E53" i="3"/>
  <c r="F52" i="3"/>
  <c r="E52" i="3"/>
  <c r="E51" i="3"/>
  <c r="F50" i="3"/>
  <c r="E50" i="3"/>
  <c r="E49" i="3"/>
  <c r="F48" i="3"/>
  <c r="E48" i="3"/>
  <c r="E47" i="3"/>
  <c r="F46" i="3"/>
  <c r="E46" i="3"/>
  <c r="E45" i="3"/>
  <c r="F44" i="3"/>
  <c r="E44" i="3"/>
  <c r="E43" i="3"/>
  <c r="F42" i="3"/>
  <c r="E42" i="3"/>
  <c r="E41" i="3"/>
  <c r="F40" i="3"/>
  <c r="E40" i="3"/>
  <c r="E39" i="3"/>
  <c r="F38" i="3"/>
  <c r="E38" i="3"/>
  <c r="E37" i="3"/>
  <c r="F36" i="3"/>
  <c r="E36" i="3"/>
  <c r="E35" i="3"/>
  <c r="F34" i="3"/>
  <c r="E34" i="3"/>
  <c r="E33" i="3"/>
  <c r="F32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H34" i="3" l="1"/>
  <c r="G34" i="3"/>
  <c r="H40" i="3"/>
  <c r="G40" i="3"/>
  <c r="H46" i="3"/>
  <c r="G46" i="3"/>
  <c r="H52" i="3"/>
  <c r="G52" i="3"/>
  <c r="H54" i="3"/>
  <c r="G54" i="3"/>
  <c r="H62" i="3"/>
  <c r="G62" i="3"/>
  <c r="H36" i="3"/>
  <c r="G36" i="3"/>
  <c r="H42" i="3"/>
  <c r="G42" i="3"/>
  <c r="H48" i="3"/>
  <c r="G48" i="3"/>
  <c r="H56" i="3"/>
  <c r="G56" i="3"/>
  <c r="H64" i="3"/>
  <c r="G64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7" i="3"/>
  <c r="F305" i="3"/>
  <c r="F303" i="3"/>
  <c r="F301" i="3"/>
  <c r="F299" i="3"/>
  <c r="F297" i="3"/>
  <c r="F295" i="3"/>
  <c r="F293" i="3"/>
  <c r="F291" i="3"/>
  <c r="F308" i="3"/>
  <c r="F306" i="3"/>
  <c r="F304" i="3"/>
  <c r="F302" i="3"/>
  <c r="F300" i="3"/>
  <c r="F298" i="3"/>
  <c r="F296" i="3"/>
  <c r="F294" i="3"/>
  <c r="F292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2" i="3"/>
  <c r="F210" i="3"/>
  <c r="F208" i="3"/>
  <c r="F206" i="3"/>
  <c r="F204" i="3"/>
  <c r="F202" i="3"/>
  <c r="F200" i="3"/>
  <c r="F198" i="3"/>
  <c r="F196" i="3"/>
  <c r="F194" i="3"/>
  <c r="F192" i="3"/>
  <c r="F190" i="3"/>
  <c r="F188" i="3"/>
  <c r="F186" i="3"/>
  <c r="F213" i="3"/>
  <c r="F211" i="3"/>
  <c r="F209" i="3"/>
  <c r="F207" i="3"/>
  <c r="F205" i="3"/>
  <c r="F203" i="3"/>
  <c r="F201" i="3"/>
  <c r="F199" i="3"/>
  <c r="F197" i="3"/>
  <c r="F195" i="3"/>
  <c r="F193" i="3"/>
  <c r="F191" i="3"/>
  <c r="F189" i="3"/>
  <c r="F187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31" i="3"/>
  <c r="F33" i="3"/>
  <c r="F35" i="3"/>
  <c r="F37" i="3"/>
  <c r="F39" i="3"/>
  <c r="F41" i="3"/>
  <c r="F43" i="3"/>
  <c r="F45" i="3"/>
  <c r="F47" i="3"/>
  <c r="F49" i="3"/>
  <c r="F51" i="3"/>
  <c r="F53" i="3"/>
  <c r="F55" i="3"/>
  <c r="F57" i="3"/>
  <c r="F59" i="3"/>
  <c r="F61" i="3"/>
  <c r="F63" i="3"/>
  <c r="F65" i="3"/>
  <c r="H32" i="3"/>
  <c r="G32" i="3"/>
  <c r="H38" i="3"/>
  <c r="G38" i="3"/>
  <c r="H44" i="3"/>
  <c r="G44" i="3"/>
  <c r="H50" i="3"/>
  <c r="G50" i="3"/>
  <c r="H58" i="3"/>
  <c r="G58" i="3"/>
  <c r="H60" i="3"/>
  <c r="G60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D16" i="1"/>
  <c r="D15" i="1"/>
  <c r="D14" i="1"/>
  <c r="G25" i="3" l="1"/>
  <c r="H25" i="3"/>
  <c r="G13" i="3"/>
  <c r="H13" i="3"/>
  <c r="H55" i="3"/>
  <c r="G55" i="3"/>
  <c r="H31" i="3"/>
  <c r="G31" i="3"/>
  <c r="H77" i="3"/>
  <c r="G77" i="3"/>
  <c r="H89" i="3"/>
  <c r="G89" i="3"/>
  <c r="H101" i="3"/>
  <c r="G101" i="3"/>
  <c r="H113" i="3"/>
  <c r="G113" i="3"/>
  <c r="H125" i="3"/>
  <c r="G125" i="3"/>
  <c r="H137" i="3"/>
  <c r="G137" i="3"/>
  <c r="H149" i="3"/>
  <c r="G149" i="3"/>
  <c r="H161" i="3"/>
  <c r="G161" i="3"/>
  <c r="H173" i="3"/>
  <c r="G173" i="3"/>
  <c r="H185" i="3"/>
  <c r="G185" i="3"/>
  <c r="H209" i="3"/>
  <c r="G209" i="3"/>
  <c r="H204" i="3"/>
  <c r="G204" i="3"/>
  <c r="H221" i="3"/>
  <c r="G221" i="3"/>
  <c r="H233" i="3"/>
  <c r="G233" i="3"/>
  <c r="H245" i="3"/>
  <c r="G245" i="3"/>
  <c r="H257" i="3"/>
  <c r="G257" i="3"/>
  <c r="H269" i="3"/>
  <c r="G269" i="3"/>
  <c r="H281" i="3"/>
  <c r="G281" i="3"/>
  <c r="H296" i="3"/>
  <c r="G296" i="3"/>
  <c r="H301" i="3"/>
  <c r="G301" i="3"/>
  <c r="H317" i="3"/>
  <c r="G317" i="3"/>
  <c r="H329" i="3"/>
  <c r="G329" i="3"/>
  <c r="H341" i="3"/>
  <c r="G341" i="3"/>
  <c r="H353" i="3"/>
  <c r="G353" i="3"/>
  <c r="H361" i="3"/>
  <c r="G361" i="3"/>
  <c r="H369" i="3"/>
  <c r="G369" i="3"/>
  <c r="H373" i="3"/>
  <c r="G373" i="3"/>
  <c r="G28" i="3"/>
  <c r="H28" i="3"/>
  <c r="G24" i="3"/>
  <c r="H24" i="3"/>
  <c r="G20" i="3"/>
  <c r="H20" i="3"/>
  <c r="G16" i="3"/>
  <c r="H16" i="3"/>
  <c r="G12" i="3"/>
  <c r="H12" i="3"/>
  <c r="G8" i="3"/>
  <c r="H8" i="3"/>
  <c r="H61" i="3"/>
  <c r="G61" i="3"/>
  <c r="H53" i="3"/>
  <c r="G53" i="3"/>
  <c r="H45" i="3"/>
  <c r="G45" i="3"/>
  <c r="H37" i="3"/>
  <c r="G37" i="3"/>
  <c r="H66" i="3"/>
  <c r="G66" i="3"/>
  <c r="H70" i="3"/>
  <c r="G70" i="3"/>
  <c r="H74" i="3"/>
  <c r="G74" i="3"/>
  <c r="H78" i="3"/>
  <c r="G78" i="3"/>
  <c r="H82" i="3"/>
  <c r="G82" i="3"/>
  <c r="H86" i="3"/>
  <c r="G86" i="3"/>
  <c r="H90" i="3"/>
  <c r="G90" i="3"/>
  <c r="H94" i="3"/>
  <c r="G94" i="3"/>
  <c r="H98" i="3"/>
  <c r="G98" i="3"/>
  <c r="H102" i="3"/>
  <c r="G102" i="3"/>
  <c r="H106" i="3"/>
  <c r="G106" i="3"/>
  <c r="H110" i="3"/>
  <c r="G110" i="3"/>
  <c r="H114" i="3"/>
  <c r="G114" i="3"/>
  <c r="H118" i="3"/>
  <c r="G118" i="3"/>
  <c r="H122" i="3"/>
  <c r="G122" i="3"/>
  <c r="H126" i="3"/>
  <c r="G126" i="3"/>
  <c r="H130" i="3"/>
  <c r="G130" i="3"/>
  <c r="H134" i="3"/>
  <c r="G134" i="3"/>
  <c r="H138" i="3"/>
  <c r="G138" i="3"/>
  <c r="H142" i="3"/>
  <c r="G142" i="3"/>
  <c r="H146" i="3"/>
  <c r="G146" i="3"/>
  <c r="H150" i="3"/>
  <c r="G150" i="3"/>
  <c r="H154" i="3"/>
  <c r="G154" i="3"/>
  <c r="H158" i="3"/>
  <c r="G158" i="3"/>
  <c r="H162" i="3"/>
  <c r="G162" i="3"/>
  <c r="H166" i="3"/>
  <c r="G166" i="3"/>
  <c r="H170" i="3"/>
  <c r="G170" i="3"/>
  <c r="H174" i="3"/>
  <c r="G174" i="3"/>
  <c r="H178" i="3"/>
  <c r="G178" i="3"/>
  <c r="H182" i="3"/>
  <c r="G182" i="3"/>
  <c r="H187" i="3"/>
  <c r="G187" i="3"/>
  <c r="H195" i="3"/>
  <c r="G195" i="3"/>
  <c r="H203" i="3"/>
  <c r="G203" i="3"/>
  <c r="H211" i="3"/>
  <c r="G211" i="3"/>
  <c r="H190" i="3"/>
  <c r="G190" i="3"/>
  <c r="H198" i="3"/>
  <c r="G198" i="3"/>
  <c r="H206" i="3"/>
  <c r="G206" i="3"/>
  <c r="H214" i="3"/>
  <c r="G214" i="3"/>
  <c r="H218" i="3"/>
  <c r="G218" i="3"/>
  <c r="H222" i="3"/>
  <c r="G222" i="3"/>
  <c r="H226" i="3"/>
  <c r="G226" i="3"/>
  <c r="H230" i="3"/>
  <c r="G230" i="3"/>
  <c r="H234" i="3"/>
  <c r="G234" i="3"/>
  <c r="H238" i="3"/>
  <c r="G238" i="3"/>
  <c r="H242" i="3"/>
  <c r="G242" i="3"/>
  <c r="H246" i="3"/>
  <c r="G246" i="3"/>
  <c r="H250" i="3"/>
  <c r="G250" i="3"/>
  <c r="H254" i="3"/>
  <c r="G254" i="3"/>
  <c r="H258" i="3"/>
  <c r="G258" i="3"/>
  <c r="H262" i="3"/>
  <c r="G262" i="3"/>
  <c r="H266" i="3"/>
  <c r="G266" i="3"/>
  <c r="H270" i="3"/>
  <c r="G270" i="3"/>
  <c r="H274" i="3"/>
  <c r="G274" i="3"/>
  <c r="H278" i="3"/>
  <c r="G278" i="3"/>
  <c r="H282" i="3"/>
  <c r="G282" i="3"/>
  <c r="H286" i="3"/>
  <c r="G286" i="3"/>
  <c r="H290" i="3"/>
  <c r="G290" i="3"/>
  <c r="H298" i="3"/>
  <c r="G298" i="3"/>
  <c r="H306" i="3"/>
  <c r="G306" i="3"/>
  <c r="H295" i="3"/>
  <c r="G295" i="3"/>
  <c r="H303" i="3"/>
  <c r="G303" i="3"/>
  <c r="H310" i="3"/>
  <c r="G310" i="3"/>
  <c r="H314" i="3"/>
  <c r="G314" i="3"/>
  <c r="H318" i="3"/>
  <c r="G318" i="3"/>
  <c r="H322" i="3"/>
  <c r="G322" i="3"/>
  <c r="H326" i="3"/>
  <c r="G326" i="3"/>
  <c r="H330" i="3"/>
  <c r="G330" i="3"/>
  <c r="H334" i="3"/>
  <c r="G334" i="3"/>
  <c r="H338" i="3"/>
  <c r="G338" i="3"/>
  <c r="H342" i="3"/>
  <c r="G342" i="3"/>
  <c r="H346" i="3"/>
  <c r="G346" i="3"/>
  <c r="H350" i="3"/>
  <c r="G350" i="3"/>
  <c r="H354" i="3"/>
  <c r="G354" i="3"/>
  <c r="H358" i="3"/>
  <c r="G358" i="3"/>
  <c r="H362" i="3"/>
  <c r="G362" i="3"/>
  <c r="H366" i="3"/>
  <c r="G366" i="3"/>
  <c r="H370" i="3"/>
  <c r="G370" i="3"/>
  <c r="H374" i="3"/>
  <c r="G374" i="3"/>
  <c r="G21" i="3"/>
  <c r="H21" i="3"/>
  <c r="G9" i="3"/>
  <c r="H9" i="3"/>
  <c r="H47" i="3"/>
  <c r="G47" i="3"/>
  <c r="H69" i="3"/>
  <c r="G69" i="3"/>
  <c r="H81" i="3"/>
  <c r="G81" i="3"/>
  <c r="H93" i="3"/>
  <c r="G93" i="3"/>
  <c r="H105" i="3"/>
  <c r="G105" i="3"/>
  <c r="H117" i="3"/>
  <c r="G117" i="3"/>
  <c r="H133" i="3"/>
  <c r="G133" i="3"/>
  <c r="H145" i="3"/>
  <c r="G145" i="3"/>
  <c r="H157" i="3"/>
  <c r="G157" i="3"/>
  <c r="H169" i="3"/>
  <c r="G169" i="3"/>
  <c r="H181" i="3"/>
  <c r="G181" i="3"/>
  <c r="H201" i="3"/>
  <c r="G201" i="3"/>
  <c r="H196" i="3"/>
  <c r="G196" i="3"/>
  <c r="H217" i="3"/>
  <c r="G217" i="3"/>
  <c r="H229" i="3"/>
  <c r="G229" i="3"/>
  <c r="H241" i="3"/>
  <c r="G241" i="3"/>
  <c r="H253" i="3"/>
  <c r="G253" i="3"/>
  <c r="H265" i="3"/>
  <c r="G265" i="3"/>
  <c r="H277" i="3"/>
  <c r="G277" i="3"/>
  <c r="H289" i="3"/>
  <c r="G289" i="3"/>
  <c r="H293" i="3"/>
  <c r="G293" i="3"/>
  <c r="H313" i="3"/>
  <c r="G313" i="3"/>
  <c r="H325" i="3"/>
  <c r="G325" i="3"/>
  <c r="H337" i="3"/>
  <c r="G337" i="3"/>
  <c r="H349" i="3"/>
  <c r="G349" i="3"/>
  <c r="H365" i="3"/>
  <c r="G365" i="3"/>
  <c r="G23" i="3"/>
  <c r="H23" i="3"/>
  <c r="G15" i="3"/>
  <c r="H15" i="3"/>
  <c r="G7" i="3"/>
  <c r="H7" i="3"/>
  <c r="H59" i="3"/>
  <c r="G59" i="3"/>
  <c r="H51" i="3"/>
  <c r="G51" i="3"/>
  <c r="H43" i="3"/>
  <c r="G43" i="3"/>
  <c r="H35" i="3"/>
  <c r="G35" i="3"/>
  <c r="H67" i="3"/>
  <c r="G67" i="3"/>
  <c r="H71" i="3"/>
  <c r="G71" i="3"/>
  <c r="H75" i="3"/>
  <c r="G75" i="3"/>
  <c r="H79" i="3"/>
  <c r="G79" i="3"/>
  <c r="H83" i="3"/>
  <c r="G83" i="3"/>
  <c r="H87" i="3"/>
  <c r="G87" i="3"/>
  <c r="H91" i="3"/>
  <c r="G91" i="3"/>
  <c r="H95" i="3"/>
  <c r="G95" i="3"/>
  <c r="H99" i="3"/>
  <c r="G99" i="3"/>
  <c r="H103" i="3"/>
  <c r="G103" i="3"/>
  <c r="H107" i="3"/>
  <c r="G107" i="3"/>
  <c r="H111" i="3"/>
  <c r="G111" i="3"/>
  <c r="H115" i="3"/>
  <c r="G115" i="3"/>
  <c r="H119" i="3"/>
  <c r="G119" i="3"/>
  <c r="H123" i="3"/>
  <c r="G123" i="3"/>
  <c r="H127" i="3"/>
  <c r="G127" i="3"/>
  <c r="H131" i="3"/>
  <c r="G131" i="3"/>
  <c r="H135" i="3"/>
  <c r="G135" i="3"/>
  <c r="H139" i="3"/>
  <c r="G139" i="3"/>
  <c r="H143" i="3"/>
  <c r="G143" i="3"/>
  <c r="H147" i="3"/>
  <c r="G147" i="3"/>
  <c r="H151" i="3"/>
  <c r="G151" i="3"/>
  <c r="H155" i="3"/>
  <c r="G155" i="3"/>
  <c r="H159" i="3"/>
  <c r="G159" i="3"/>
  <c r="H163" i="3"/>
  <c r="G163" i="3"/>
  <c r="H167" i="3"/>
  <c r="G167" i="3"/>
  <c r="H171" i="3"/>
  <c r="G171" i="3"/>
  <c r="H175" i="3"/>
  <c r="G175" i="3"/>
  <c r="H179" i="3"/>
  <c r="G179" i="3"/>
  <c r="H183" i="3"/>
  <c r="G183" i="3"/>
  <c r="H189" i="3"/>
  <c r="G189" i="3"/>
  <c r="H197" i="3"/>
  <c r="G197" i="3"/>
  <c r="H205" i="3"/>
  <c r="G205" i="3"/>
  <c r="H213" i="3"/>
  <c r="G213" i="3"/>
  <c r="H192" i="3"/>
  <c r="G192" i="3"/>
  <c r="H200" i="3"/>
  <c r="G200" i="3"/>
  <c r="H208" i="3"/>
  <c r="G208" i="3"/>
  <c r="H215" i="3"/>
  <c r="G215" i="3"/>
  <c r="H219" i="3"/>
  <c r="G219" i="3"/>
  <c r="H223" i="3"/>
  <c r="G223" i="3"/>
  <c r="H227" i="3"/>
  <c r="G227" i="3"/>
  <c r="H231" i="3"/>
  <c r="G231" i="3"/>
  <c r="H235" i="3"/>
  <c r="G235" i="3"/>
  <c r="H239" i="3"/>
  <c r="G239" i="3"/>
  <c r="H243" i="3"/>
  <c r="G243" i="3"/>
  <c r="H247" i="3"/>
  <c r="G247" i="3"/>
  <c r="H251" i="3"/>
  <c r="G251" i="3"/>
  <c r="H255" i="3"/>
  <c r="G255" i="3"/>
  <c r="H259" i="3"/>
  <c r="G259" i="3"/>
  <c r="H263" i="3"/>
  <c r="G263" i="3"/>
  <c r="H267" i="3"/>
  <c r="G267" i="3"/>
  <c r="H271" i="3"/>
  <c r="G271" i="3"/>
  <c r="H275" i="3"/>
  <c r="G275" i="3"/>
  <c r="H279" i="3"/>
  <c r="G279" i="3"/>
  <c r="H283" i="3"/>
  <c r="G283" i="3"/>
  <c r="H287" i="3"/>
  <c r="G287" i="3"/>
  <c r="H292" i="3"/>
  <c r="G292" i="3"/>
  <c r="H300" i="3"/>
  <c r="G300" i="3"/>
  <c r="H308" i="3"/>
  <c r="G308" i="3"/>
  <c r="H297" i="3"/>
  <c r="G297" i="3"/>
  <c r="H305" i="3"/>
  <c r="G305" i="3"/>
  <c r="H311" i="3"/>
  <c r="G311" i="3"/>
  <c r="H315" i="3"/>
  <c r="G315" i="3"/>
  <c r="H319" i="3"/>
  <c r="G319" i="3"/>
  <c r="H323" i="3"/>
  <c r="G323" i="3"/>
  <c r="H327" i="3"/>
  <c r="G327" i="3"/>
  <c r="H331" i="3"/>
  <c r="G331" i="3"/>
  <c r="H335" i="3"/>
  <c r="G335" i="3"/>
  <c r="H339" i="3"/>
  <c r="G339" i="3"/>
  <c r="H343" i="3"/>
  <c r="G343" i="3"/>
  <c r="H347" i="3"/>
  <c r="G347" i="3"/>
  <c r="H351" i="3"/>
  <c r="G351" i="3"/>
  <c r="H355" i="3"/>
  <c r="G355" i="3"/>
  <c r="H359" i="3"/>
  <c r="G359" i="3"/>
  <c r="H363" i="3"/>
  <c r="G363" i="3"/>
  <c r="H367" i="3"/>
  <c r="G367" i="3"/>
  <c r="H371" i="3"/>
  <c r="G371" i="3"/>
  <c r="G29" i="3"/>
  <c r="H29" i="3"/>
  <c r="G17" i="3"/>
  <c r="H17" i="3"/>
  <c r="H63" i="3"/>
  <c r="G63" i="3"/>
  <c r="H39" i="3"/>
  <c r="G39" i="3"/>
  <c r="H73" i="3"/>
  <c r="G73" i="3"/>
  <c r="H85" i="3"/>
  <c r="G85" i="3"/>
  <c r="H97" i="3"/>
  <c r="G97" i="3"/>
  <c r="H109" i="3"/>
  <c r="G109" i="3"/>
  <c r="H121" i="3"/>
  <c r="G121" i="3"/>
  <c r="H129" i="3"/>
  <c r="G129" i="3"/>
  <c r="H141" i="3"/>
  <c r="G141" i="3"/>
  <c r="H153" i="3"/>
  <c r="G153" i="3"/>
  <c r="H165" i="3"/>
  <c r="G165" i="3"/>
  <c r="H177" i="3"/>
  <c r="G177" i="3"/>
  <c r="H193" i="3"/>
  <c r="G193" i="3"/>
  <c r="H188" i="3"/>
  <c r="G188" i="3"/>
  <c r="H212" i="3"/>
  <c r="G212" i="3"/>
  <c r="H225" i="3"/>
  <c r="G225" i="3"/>
  <c r="H237" i="3"/>
  <c r="G237" i="3"/>
  <c r="H249" i="3"/>
  <c r="G249" i="3"/>
  <c r="H261" i="3"/>
  <c r="G261" i="3"/>
  <c r="H273" i="3"/>
  <c r="G273" i="3"/>
  <c r="H285" i="3"/>
  <c r="G285" i="3"/>
  <c r="H304" i="3"/>
  <c r="G304" i="3"/>
  <c r="H309" i="3"/>
  <c r="G309" i="3"/>
  <c r="H321" i="3"/>
  <c r="G321" i="3"/>
  <c r="H333" i="3"/>
  <c r="G333" i="3"/>
  <c r="H345" i="3"/>
  <c r="G345" i="3"/>
  <c r="H357" i="3"/>
  <c r="G357" i="3"/>
  <c r="G27" i="3"/>
  <c r="H27" i="3"/>
  <c r="G19" i="3"/>
  <c r="H19" i="3"/>
  <c r="G11" i="3"/>
  <c r="H11" i="3"/>
  <c r="H30" i="3"/>
  <c r="G30" i="3"/>
  <c r="G26" i="3"/>
  <c r="H26" i="3"/>
  <c r="G22" i="3"/>
  <c r="H22" i="3"/>
  <c r="G18" i="3"/>
  <c r="H18" i="3"/>
  <c r="G14" i="3"/>
  <c r="H14" i="3"/>
  <c r="G10" i="3"/>
  <c r="H10" i="3"/>
  <c r="H65" i="3"/>
  <c r="G65" i="3"/>
  <c r="H57" i="3"/>
  <c r="G57" i="3"/>
  <c r="H49" i="3"/>
  <c r="G49" i="3"/>
  <c r="H41" i="3"/>
  <c r="G41" i="3"/>
  <c r="H33" i="3"/>
  <c r="G33" i="3"/>
  <c r="H68" i="3"/>
  <c r="G68" i="3"/>
  <c r="H72" i="3"/>
  <c r="G72" i="3"/>
  <c r="H76" i="3"/>
  <c r="G76" i="3"/>
  <c r="H80" i="3"/>
  <c r="G80" i="3"/>
  <c r="H84" i="3"/>
  <c r="G84" i="3"/>
  <c r="H88" i="3"/>
  <c r="G88" i="3"/>
  <c r="H92" i="3"/>
  <c r="G92" i="3"/>
  <c r="H96" i="3"/>
  <c r="G96" i="3"/>
  <c r="H100" i="3"/>
  <c r="G100" i="3"/>
  <c r="H104" i="3"/>
  <c r="G104" i="3"/>
  <c r="H108" i="3"/>
  <c r="G108" i="3"/>
  <c r="H112" i="3"/>
  <c r="G112" i="3"/>
  <c r="H116" i="3"/>
  <c r="G116" i="3"/>
  <c r="H120" i="3"/>
  <c r="G120" i="3"/>
  <c r="H124" i="3"/>
  <c r="G124" i="3"/>
  <c r="H128" i="3"/>
  <c r="G128" i="3"/>
  <c r="H132" i="3"/>
  <c r="G132" i="3"/>
  <c r="H136" i="3"/>
  <c r="G136" i="3"/>
  <c r="H140" i="3"/>
  <c r="G140" i="3"/>
  <c r="H144" i="3"/>
  <c r="G144" i="3"/>
  <c r="H148" i="3"/>
  <c r="G148" i="3"/>
  <c r="H152" i="3"/>
  <c r="G152" i="3"/>
  <c r="H156" i="3"/>
  <c r="G156" i="3"/>
  <c r="H160" i="3"/>
  <c r="G160" i="3"/>
  <c r="H164" i="3"/>
  <c r="G164" i="3"/>
  <c r="H168" i="3"/>
  <c r="G168" i="3"/>
  <c r="H172" i="3"/>
  <c r="G172" i="3"/>
  <c r="H176" i="3"/>
  <c r="G176" i="3"/>
  <c r="H180" i="3"/>
  <c r="G180" i="3"/>
  <c r="H184" i="3"/>
  <c r="G184" i="3"/>
  <c r="H191" i="3"/>
  <c r="G191" i="3"/>
  <c r="H199" i="3"/>
  <c r="G199" i="3"/>
  <c r="H207" i="3"/>
  <c r="G207" i="3"/>
  <c r="H186" i="3"/>
  <c r="G186" i="3"/>
  <c r="H194" i="3"/>
  <c r="G194" i="3"/>
  <c r="H202" i="3"/>
  <c r="G202" i="3"/>
  <c r="H210" i="3"/>
  <c r="G210" i="3"/>
  <c r="H216" i="3"/>
  <c r="G216" i="3"/>
  <c r="H220" i="3"/>
  <c r="G220" i="3"/>
  <c r="H224" i="3"/>
  <c r="G224" i="3"/>
  <c r="H228" i="3"/>
  <c r="G228" i="3"/>
  <c r="H232" i="3"/>
  <c r="G232" i="3"/>
  <c r="H236" i="3"/>
  <c r="G236" i="3"/>
  <c r="H240" i="3"/>
  <c r="G240" i="3"/>
  <c r="H244" i="3"/>
  <c r="G244" i="3"/>
  <c r="H248" i="3"/>
  <c r="G248" i="3"/>
  <c r="H252" i="3"/>
  <c r="G252" i="3"/>
  <c r="H256" i="3"/>
  <c r="G256" i="3"/>
  <c r="H260" i="3"/>
  <c r="G260" i="3"/>
  <c r="H264" i="3"/>
  <c r="G264" i="3"/>
  <c r="H268" i="3"/>
  <c r="G268" i="3"/>
  <c r="H272" i="3"/>
  <c r="G272" i="3"/>
  <c r="H276" i="3"/>
  <c r="G276" i="3"/>
  <c r="H280" i="3"/>
  <c r="G280" i="3"/>
  <c r="H284" i="3"/>
  <c r="G284" i="3"/>
  <c r="H288" i="3"/>
  <c r="G288" i="3"/>
  <c r="H294" i="3"/>
  <c r="G294" i="3"/>
  <c r="H302" i="3"/>
  <c r="G302" i="3"/>
  <c r="H291" i="3"/>
  <c r="G291" i="3"/>
  <c r="H299" i="3"/>
  <c r="G299" i="3"/>
  <c r="H307" i="3"/>
  <c r="G307" i="3"/>
  <c r="H312" i="3"/>
  <c r="G312" i="3"/>
  <c r="H316" i="3"/>
  <c r="G316" i="3"/>
  <c r="H320" i="3"/>
  <c r="G320" i="3"/>
  <c r="H324" i="3"/>
  <c r="G324" i="3"/>
  <c r="H328" i="3"/>
  <c r="G328" i="3"/>
  <c r="H332" i="3"/>
  <c r="G332" i="3"/>
  <c r="H336" i="3"/>
  <c r="G336" i="3"/>
  <c r="H340" i="3"/>
  <c r="G340" i="3"/>
  <c r="H344" i="3"/>
  <c r="G344" i="3"/>
  <c r="H348" i="3"/>
  <c r="G348" i="3"/>
  <c r="H352" i="3"/>
  <c r="G352" i="3"/>
  <c r="H356" i="3"/>
  <c r="G356" i="3"/>
  <c r="H360" i="3"/>
  <c r="G360" i="3"/>
  <c r="H364" i="3"/>
  <c r="G364" i="3"/>
  <c r="H368" i="3"/>
  <c r="G368" i="3"/>
  <c r="H372" i="3"/>
  <c r="G372" i="3"/>
</calcChain>
</file>

<file path=xl/sharedStrings.xml><?xml version="1.0" encoding="utf-8"?>
<sst xmlns="http://schemas.openxmlformats.org/spreadsheetml/2006/main" count="23" uniqueCount="23">
  <si>
    <t>Value One</t>
  </si>
  <si>
    <t>Value Two</t>
  </si>
  <si>
    <t>Which is higher fraction?</t>
  </si>
  <si>
    <t>Showing how Sub Procedure Code can be used in a Spreadsheet:</t>
  </si>
  <si>
    <t>Showing how Functions can be used in a Spreadsheet:</t>
  </si>
  <si>
    <t>The inputted data is of the value of a feature over time.</t>
  </si>
  <si>
    <t>We assume an underlying Normal Distribution whose mean is the mean for the data.</t>
  </si>
  <si>
    <t>Hence points which are more than 3 standard deviations from the mean are less than 1% likely.</t>
  </si>
  <si>
    <t>Such points are unlikely due to natural variation, and so should be investigated.</t>
  </si>
  <si>
    <t>The following data was sourced from Yahoo Finance</t>
  </si>
  <si>
    <t>Date</t>
  </si>
  <si>
    <t>Open</t>
  </si>
  <si>
    <t>Adjusted Close</t>
  </si>
  <si>
    <t>% Change on Month</t>
  </si>
  <si>
    <t>Control Limits are at:</t>
  </si>
  <si>
    <t>standard deviations from the mean</t>
  </si>
  <si>
    <t>Upper Control Limit</t>
  </si>
  <si>
    <t>Lower Control Limit</t>
  </si>
  <si>
    <t>Mean</t>
  </si>
  <si>
    <t xml:space="preserve">The below further shows how VBA-like features can be created without VBA code, using a customisable Shewhart Chart. </t>
  </si>
  <si>
    <t>Here we simply went to the Developer tab, clicked Insert and then 'Spin Button', right clicked the button, clicked Format Control and specified the cell and max/min/step values</t>
  </si>
  <si>
    <t>What can be achieved using the Developer tab without VBA Code?</t>
  </si>
  <si>
    <t>We can move the button by right-clicking it and then dragging it across the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</si>
</sst>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4" fillId="2" borderId="0" xfId="0" applyFont="1" applyFill="1"/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5" fillId="2" borderId="0" xfId="2" applyFill="1"/>
    <xf numFmtId="17" fontId="0" fillId="2" borderId="4" xfId="0" applyNumberFormat="1" applyFill="1" applyBorder="1" applyAlignment="1">
      <alignment horizontal="center" vertical="center"/>
    </xf>
    <xf numFmtId="10" fontId="0" fillId="2" borderId="5" xfId="1" applyNumberFormat="1" applyFont="1" applyFill="1" applyBorder="1" applyAlignment="1">
      <alignment horizontal="center" vertical="center"/>
    </xf>
    <xf numFmtId="17" fontId="0" fillId="2" borderId="6" xfId="0" applyNumberFormat="1" applyFill="1" applyBorder="1" applyAlignment="1">
      <alignment horizontal="center" vertical="center"/>
    </xf>
    <xf numFmtId="10" fontId="0" fillId="2" borderId="8" xfId="1" applyNumberFormat="1" applyFont="1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10" fontId="0" fillId="2" borderId="7" xfId="1" applyNumberFormat="1" applyFont="1" applyFill="1" applyBorder="1" applyAlignment="1">
      <alignment horizontal="center" vertical="center"/>
    </xf>
    <xf numFmtId="10" fontId="0" fillId="2" borderId="3" xfId="1" applyNumberFormat="1" applyFont="1" applyFill="1" applyBorder="1" applyAlignment="1">
      <alignment horizontal="center" vertical="center"/>
    </xf>
    <xf numFmtId="10" fontId="0" fillId="2" borderId="2" xfId="1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Monthly % Change in FTSE 250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Open to Close % Change in Month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'Raw Data'!$B$7:$B$374</c:f>
              <c:numCache>
                <c:formatCode>mmm\-yy</c:formatCode>
                <c:ptCount val="368"/>
                <c:pt idx="0">
                  <c:v>42583</c:v>
                </c:pt>
                <c:pt idx="1">
                  <c:v>42552</c:v>
                </c:pt>
                <c:pt idx="2">
                  <c:v>42523</c:v>
                </c:pt>
                <c:pt idx="3">
                  <c:v>42493</c:v>
                </c:pt>
                <c:pt idx="4">
                  <c:v>42461</c:v>
                </c:pt>
                <c:pt idx="5">
                  <c:v>42430</c:v>
                </c:pt>
                <c:pt idx="6">
                  <c:v>42401</c:v>
                </c:pt>
                <c:pt idx="7">
                  <c:v>42374</c:v>
                </c:pt>
                <c:pt idx="8">
                  <c:v>42339</c:v>
                </c:pt>
                <c:pt idx="9">
                  <c:v>42310</c:v>
                </c:pt>
                <c:pt idx="10">
                  <c:v>42279</c:v>
                </c:pt>
                <c:pt idx="11">
                  <c:v>42248</c:v>
                </c:pt>
                <c:pt idx="12">
                  <c:v>42219</c:v>
                </c:pt>
                <c:pt idx="13">
                  <c:v>42186</c:v>
                </c:pt>
                <c:pt idx="14">
                  <c:v>42156</c:v>
                </c:pt>
                <c:pt idx="15">
                  <c:v>42125</c:v>
                </c:pt>
                <c:pt idx="16">
                  <c:v>42095</c:v>
                </c:pt>
                <c:pt idx="17">
                  <c:v>42065</c:v>
                </c:pt>
                <c:pt idx="18">
                  <c:v>42037</c:v>
                </c:pt>
                <c:pt idx="19">
                  <c:v>42006</c:v>
                </c:pt>
                <c:pt idx="20">
                  <c:v>41974</c:v>
                </c:pt>
                <c:pt idx="21">
                  <c:v>41946</c:v>
                </c:pt>
                <c:pt idx="22">
                  <c:v>41913</c:v>
                </c:pt>
                <c:pt idx="23">
                  <c:v>41883</c:v>
                </c:pt>
                <c:pt idx="24">
                  <c:v>41852</c:v>
                </c:pt>
                <c:pt idx="25">
                  <c:v>41821</c:v>
                </c:pt>
                <c:pt idx="26">
                  <c:v>41792</c:v>
                </c:pt>
                <c:pt idx="27">
                  <c:v>41760</c:v>
                </c:pt>
                <c:pt idx="28">
                  <c:v>41730</c:v>
                </c:pt>
                <c:pt idx="29">
                  <c:v>41701</c:v>
                </c:pt>
                <c:pt idx="30">
                  <c:v>41673</c:v>
                </c:pt>
                <c:pt idx="31">
                  <c:v>41641</c:v>
                </c:pt>
                <c:pt idx="32">
                  <c:v>41610</c:v>
                </c:pt>
                <c:pt idx="33">
                  <c:v>41579</c:v>
                </c:pt>
                <c:pt idx="34">
                  <c:v>41548</c:v>
                </c:pt>
                <c:pt idx="35">
                  <c:v>41519</c:v>
                </c:pt>
                <c:pt idx="36">
                  <c:v>41487</c:v>
                </c:pt>
                <c:pt idx="37">
                  <c:v>41456</c:v>
                </c:pt>
                <c:pt idx="38">
                  <c:v>41428</c:v>
                </c:pt>
                <c:pt idx="39">
                  <c:v>41395</c:v>
                </c:pt>
                <c:pt idx="40">
                  <c:v>41366</c:v>
                </c:pt>
                <c:pt idx="41">
                  <c:v>41334</c:v>
                </c:pt>
                <c:pt idx="42">
                  <c:v>41306</c:v>
                </c:pt>
                <c:pt idx="43">
                  <c:v>41276</c:v>
                </c:pt>
                <c:pt idx="44">
                  <c:v>41246</c:v>
                </c:pt>
                <c:pt idx="45">
                  <c:v>41214</c:v>
                </c:pt>
                <c:pt idx="46">
                  <c:v>41183</c:v>
                </c:pt>
                <c:pt idx="47">
                  <c:v>41155</c:v>
                </c:pt>
                <c:pt idx="48">
                  <c:v>41122</c:v>
                </c:pt>
                <c:pt idx="49">
                  <c:v>41092</c:v>
                </c:pt>
                <c:pt idx="50">
                  <c:v>41061</c:v>
                </c:pt>
                <c:pt idx="51">
                  <c:v>41030</c:v>
                </c:pt>
                <c:pt idx="52">
                  <c:v>41001</c:v>
                </c:pt>
                <c:pt idx="53">
                  <c:v>40969</c:v>
                </c:pt>
                <c:pt idx="54">
                  <c:v>40940</c:v>
                </c:pt>
                <c:pt idx="55">
                  <c:v>40911</c:v>
                </c:pt>
                <c:pt idx="56">
                  <c:v>40878</c:v>
                </c:pt>
                <c:pt idx="57">
                  <c:v>40848</c:v>
                </c:pt>
                <c:pt idx="58">
                  <c:v>40819</c:v>
                </c:pt>
                <c:pt idx="59">
                  <c:v>40787</c:v>
                </c:pt>
                <c:pt idx="60">
                  <c:v>40756</c:v>
                </c:pt>
                <c:pt idx="61">
                  <c:v>40725</c:v>
                </c:pt>
                <c:pt idx="62">
                  <c:v>40695</c:v>
                </c:pt>
                <c:pt idx="63">
                  <c:v>40666</c:v>
                </c:pt>
                <c:pt idx="64">
                  <c:v>40634</c:v>
                </c:pt>
                <c:pt idx="65">
                  <c:v>40603</c:v>
                </c:pt>
                <c:pt idx="66">
                  <c:v>40575</c:v>
                </c:pt>
                <c:pt idx="67">
                  <c:v>40547</c:v>
                </c:pt>
                <c:pt idx="68">
                  <c:v>40513</c:v>
                </c:pt>
                <c:pt idx="69">
                  <c:v>40483</c:v>
                </c:pt>
                <c:pt idx="70">
                  <c:v>40452</c:v>
                </c:pt>
                <c:pt idx="71">
                  <c:v>40422</c:v>
                </c:pt>
                <c:pt idx="72">
                  <c:v>40392</c:v>
                </c:pt>
                <c:pt idx="73">
                  <c:v>40360</c:v>
                </c:pt>
                <c:pt idx="74">
                  <c:v>40330</c:v>
                </c:pt>
                <c:pt idx="75">
                  <c:v>40302</c:v>
                </c:pt>
                <c:pt idx="76">
                  <c:v>40269</c:v>
                </c:pt>
                <c:pt idx="77">
                  <c:v>40238</c:v>
                </c:pt>
                <c:pt idx="78">
                  <c:v>40210</c:v>
                </c:pt>
                <c:pt idx="79">
                  <c:v>40182</c:v>
                </c:pt>
                <c:pt idx="80">
                  <c:v>40148</c:v>
                </c:pt>
                <c:pt idx="81">
                  <c:v>40119</c:v>
                </c:pt>
                <c:pt idx="82">
                  <c:v>40087</c:v>
                </c:pt>
                <c:pt idx="83">
                  <c:v>40057</c:v>
                </c:pt>
                <c:pt idx="84">
                  <c:v>40028</c:v>
                </c:pt>
                <c:pt idx="85">
                  <c:v>39995</c:v>
                </c:pt>
                <c:pt idx="86">
                  <c:v>39965</c:v>
                </c:pt>
                <c:pt idx="87">
                  <c:v>39934</c:v>
                </c:pt>
                <c:pt idx="88">
                  <c:v>39904</c:v>
                </c:pt>
                <c:pt idx="89">
                  <c:v>39874</c:v>
                </c:pt>
                <c:pt idx="90">
                  <c:v>39846</c:v>
                </c:pt>
                <c:pt idx="91">
                  <c:v>39815</c:v>
                </c:pt>
                <c:pt idx="92">
                  <c:v>39783</c:v>
                </c:pt>
                <c:pt idx="93">
                  <c:v>39755</c:v>
                </c:pt>
                <c:pt idx="94">
                  <c:v>39722</c:v>
                </c:pt>
                <c:pt idx="95">
                  <c:v>39692</c:v>
                </c:pt>
                <c:pt idx="96">
                  <c:v>39661</c:v>
                </c:pt>
                <c:pt idx="97">
                  <c:v>39630</c:v>
                </c:pt>
                <c:pt idx="98">
                  <c:v>39601</c:v>
                </c:pt>
                <c:pt idx="99">
                  <c:v>39569</c:v>
                </c:pt>
                <c:pt idx="100">
                  <c:v>39539</c:v>
                </c:pt>
                <c:pt idx="101">
                  <c:v>39510</c:v>
                </c:pt>
                <c:pt idx="102">
                  <c:v>39479</c:v>
                </c:pt>
                <c:pt idx="103">
                  <c:v>39449</c:v>
                </c:pt>
                <c:pt idx="104">
                  <c:v>39419</c:v>
                </c:pt>
                <c:pt idx="105">
                  <c:v>39387</c:v>
                </c:pt>
                <c:pt idx="106">
                  <c:v>39356</c:v>
                </c:pt>
                <c:pt idx="107">
                  <c:v>39328</c:v>
                </c:pt>
                <c:pt idx="108">
                  <c:v>39295</c:v>
                </c:pt>
                <c:pt idx="109">
                  <c:v>39265</c:v>
                </c:pt>
                <c:pt idx="110">
                  <c:v>39234</c:v>
                </c:pt>
                <c:pt idx="111">
                  <c:v>39203</c:v>
                </c:pt>
                <c:pt idx="112">
                  <c:v>39174</c:v>
                </c:pt>
                <c:pt idx="113">
                  <c:v>39142</c:v>
                </c:pt>
                <c:pt idx="114">
                  <c:v>39114</c:v>
                </c:pt>
                <c:pt idx="115">
                  <c:v>39084</c:v>
                </c:pt>
                <c:pt idx="116">
                  <c:v>39052</c:v>
                </c:pt>
                <c:pt idx="117">
                  <c:v>39022</c:v>
                </c:pt>
                <c:pt idx="118">
                  <c:v>38992</c:v>
                </c:pt>
                <c:pt idx="119">
                  <c:v>38961</c:v>
                </c:pt>
                <c:pt idx="120">
                  <c:v>38930</c:v>
                </c:pt>
                <c:pt idx="121">
                  <c:v>38901</c:v>
                </c:pt>
                <c:pt idx="122">
                  <c:v>38869</c:v>
                </c:pt>
                <c:pt idx="123">
                  <c:v>38839</c:v>
                </c:pt>
                <c:pt idx="124">
                  <c:v>38810</c:v>
                </c:pt>
                <c:pt idx="125">
                  <c:v>38777</c:v>
                </c:pt>
                <c:pt idx="126">
                  <c:v>38749</c:v>
                </c:pt>
                <c:pt idx="127">
                  <c:v>38720</c:v>
                </c:pt>
                <c:pt idx="128">
                  <c:v>38687</c:v>
                </c:pt>
                <c:pt idx="129">
                  <c:v>38657</c:v>
                </c:pt>
                <c:pt idx="130">
                  <c:v>38628</c:v>
                </c:pt>
                <c:pt idx="131">
                  <c:v>38596</c:v>
                </c:pt>
                <c:pt idx="132">
                  <c:v>38565</c:v>
                </c:pt>
                <c:pt idx="133">
                  <c:v>38534</c:v>
                </c:pt>
                <c:pt idx="134">
                  <c:v>38504</c:v>
                </c:pt>
                <c:pt idx="135">
                  <c:v>38475</c:v>
                </c:pt>
                <c:pt idx="136">
                  <c:v>38443</c:v>
                </c:pt>
                <c:pt idx="137">
                  <c:v>38412</c:v>
                </c:pt>
                <c:pt idx="138">
                  <c:v>38384</c:v>
                </c:pt>
                <c:pt idx="139">
                  <c:v>38356</c:v>
                </c:pt>
                <c:pt idx="140">
                  <c:v>38322</c:v>
                </c:pt>
                <c:pt idx="141">
                  <c:v>38292</c:v>
                </c:pt>
                <c:pt idx="142">
                  <c:v>38261</c:v>
                </c:pt>
                <c:pt idx="143">
                  <c:v>38231</c:v>
                </c:pt>
                <c:pt idx="144">
                  <c:v>38201</c:v>
                </c:pt>
                <c:pt idx="145">
                  <c:v>38169</c:v>
                </c:pt>
                <c:pt idx="146">
                  <c:v>38139</c:v>
                </c:pt>
                <c:pt idx="147">
                  <c:v>38111</c:v>
                </c:pt>
                <c:pt idx="148">
                  <c:v>38078</c:v>
                </c:pt>
                <c:pt idx="149">
                  <c:v>38047</c:v>
                </c:pt>
                <c:pt idx="150">
                  <c:v>38019</c:v>
                </c:pt>
                <c:pt idx="151">
                  <c:v>37988</c:v>
                </c:pt>
                <c:pt idx="152">
                  <c:v>37956</c:v>
                </c:pt>
                <c:pt idx="153">
                  <c:v>37928</c:v>
                </c:pt>
                <c:pt idx="154">
                  <c:v>37895</c:v>
                </c:pt>
                <c:pt idx="155">
                  <c:v>37865</c:v>
                </c:pt>
                <c:pt idx="156">
                  <c:v>37834</c:v>
                </c:pt>
                <c:pt idx="157">
                  <c:v>37803</c:v>
                </c:pt>
                <c:pt idx="158">
                  <c:v>37774</c:v>
                </c:pt>
                <c:pt idx="159">
                  <c:v>37742</c:v>
                </c:pt>
                <c:pt idx="160">
                  <c:v>37712</c:v>
                </c:pt>
                <c:pt idx="161">
                  <c:v>37683</c:v>
                </c:pt>
                <c:pt idx="162">
                  <c:v>37655</c:v>
                </c:pt>
                <c:pt idx="163">
                  <c:v>37623</c:v>
                </c:pt>
                <c:pt idx="164">
                  <c:v>37592</c:v>
                </c:pt>
                <c:pt idx="165">
                  <c:v>37561</c:v>
                </c:pt>
                <c:pt idx="166">
                  <c:v>37530</c:v>
                </c:pt>
                <c:pt idx="167">
                  <c:v>37501</c:v>
                </c:pt>
                <c:pt idx="168">
                  <c:v>37469</c:v>
                </c:pt>
                <c:pt idx="169">
                  <c:v>37438</c:v>
                </c:pt>
                <c:pt idx="170">
                  <c:v>37412</c:v>
                </c:pt>
                <c:pt idx="171">
                  <c:v>37377</c:v>
                </c:pt>
                <c:pt idx="172">
                  <c:v>37348</c:v>
                </c:pt>
                <c:pt idx="173">
                  <c:v>37316</c:v>
                </c:pt>
                <c:pt idx="174">
                  <c:v>37288</c:v>
                </c:pt>
                <c:pt idx="175">
                  <c:v>37258</c:v>
                </c:pt>
                <c:pt idx="176">
                  <c:v>37228</c:v>
                </c:pt>
                <c:pt idx="177">
                  <c:v>37196</c:v>
                </c:pt>
                <c:pt idx="178">
                  <c:v>37165</c:v>
                </c:pt>
                <c:pt idx="179">
                  <c:v>37137</c:v>
                </c:pt>
                <c:pt idx="180">
                  <c:v>37104</c:v>
                </c:pt>
                <c:pt idx="181">
                  <c:v>37074</c:v>
                </c:pt>
                <c:pt idx="182">
                  <c:v>37043</c:v>
                </c:pt>
                <c:pt idx="183">
                  <c:v>37012</c:v>
                </c:pt>
                <c:pt idx="184">
                  <c:v>36983</c:v>
                </c:pt>
                <c:pt idx="185">
                  <c:v>36951</c:v>
                </c:pt>
                <c:pt idx="186">
                  <c:v>36923</c:v>
                </c:pt>
                <c:pt idx="187">
                  <c:v>36893</c:v>
                </c:pt>
                <c:pt idx="188">
                  <c:v>36861</c:v>
                </c:pt>
                <c:pt idx="189">
                  <c:v>36831</c:v>
                </c:pt>
                <c:pt idx="190">
                  <c:v>36801</c:v>
                </c:pt>
                <c:pt idx="191">
                  <c:v>36770</c:v>
                </c:pt>
                <c:pt idx="192">
                  <c:v>36739</c:v>
                </c:pt>
                <c:pt idx="193">
                  <c:v>36710</c:v>
                </c:pt>
                <c:pt idx="194">
                  <c:v>36678</c:v>
                </c:pt>
                <c:pt idx="195">
                  <c:v>36648</c:v>
                </c:pt>
                <c:pt idx="196">
                  <c:v>36619</c:v>
                </c:pt>
                <c:pt idx="197">
                  <c:v>36586</c:v>
                </c:pt>
                <c:pt idx="198">
                  <c:v>36557</c:v>
                </c:pt>
                <c:pt idx="199">
                  <c:v>36529</c:v>
                </c:pt>
                <c:pt idx="200">
                  <c:v>36495</c:v>
                </c:pt>
                <c:pt idx="201">
                  <c:v>36465</c:v>
                </c:pt>
                <c:pt idx="202">
                  <c:v>36434</c:v>
                </c:pt>
                <c:pt idx="203">
                  <c:v>36404</c:v>
                </c:pt>
                <c:pt idx="204">
                  <c:v>36374</c:v>
                </c:pt>
                <c:pt idx="205">
                  <c:v>36342</c:v>
                </c:pt>
                <c:pt idx="206">
                  <c:v>36312</c:v>
                </c:pt>
                <c:pt idx="207">
                  <c:v>36284</c:v>
                </c:pt>
                <c:pt idx="208">
                  <c:v>36251</c:v>
                </c:pt>
                <c:pt idx="209">
                  <c:v>36220</c:v>
                </c:pt>
                <c:pt idx="210">
                  <c:v>36192</c:v>
                </c:pt>
                <c:pt idx="211">
                  <c:v>36161</c:v>
                </c:pt>
                <c:pt idx="212">
                  <c:v>36130</c:v>
                </c:pt>
                <c:pt idx="213">
                  <c:v>36101</c:v>
                </c:pt>
                <c:pt idx="214">
                  <c:v>36069</c:v>
                </c:pt>
                <c:pt idx="215">
                  <c:v>36039</c:v>
                </c:pt>
                <c:pt idx="216">
                  <c:v>36010</c:v>
                </c:pt>
                <c:pt idx="217">
                  <c:v>35977</c:v>
                </c:pt>
                <c:pt idx="218">
                  <c:v>35947</c:v>
                </c:pt>
                <c:pt idx="219">
                  <c:v>35916</c:v>
                </c:pt>
                <c:pt idx="220">
                  <c:v>35886</c:v>
                </c:pt>
                <c:pt idx="221">
                  <c:v>35856</c:v>
                </c:pt>
                <c:pt idx="222">
                  <c:v>35828</c:v>
                </c:pt>
                <c:pt idx="223">
                  <c:v>35796</c:v>
                </c:pt>
                <c:pt idx="224">
                  <c:v>35765</c:v>
                </c:pt>
                <c:pt idx="225">
                  <c:v>35737</c:v>
                </c:pt>
                <c:pt idx="226">
                  <c:v>35704</c:v>
                </c:pt>
                <c:pt idx="227">
                  <c:v>35674</c:v>
                </c:pt>
                <c:pt idx="228">
                  <c:v>35643</c:v>
                </c:pt>
                <c:pt idx="229">
                  <c:v>35612</c:v>
                </c:pt>
                <c:pt idx="230">
                  <c:v>35583</c:v>
                </c:pt>
                <c:pt idx="231">
                  <c:v>35551</c:v>
                </c:pt>
                <c:pt idx="232">
                  <c:v>35521</c:v>
                </c:pt>
                <c:pt idx="233">
                  <c:v>35492</c:v>
                </c:pt>
                <c:pt idx="234">
                  <c:v>35464</c:v>
                </c:pt>
                <c:pt idx="235">
                  <c:v>35431</c:v>
                </c:pt>
                <c:pt idx="236">
                  <c:v>35401</c:v>
                </c:pt>
                <c:pt idx="237">
                  <c:v>35370</c:v>
                </c:pt>
                <c:pt idx="238">
                  <c:v>35339</c:v>
                </c:pt>
                <c:pt idx="239">
                  <c:v>35310</c:v>
                </c:pt>
                <c:pt idx="240">
                  <c:v>35278</c:v>
                </c:pt>
                <c:pt idx="241">
                  <c:v>35247</c:v>
                </c:pt>
                <c:pt idx="242">
                  <c:v>35219</c:v>
                </c:pt>
                <c:pt idx="243">
                  <c:v>35186</c:v>
                </c:pt>
                <c:pt idx="244">
                  <c:v>35156</c:v>
                </c:pt>
                <c:pt idx="245">
                  <c:v>35125</c:v>
                </c:pt>
                <c:pt idx="246">
                  <c:v>35096</c:v>
                </c:pt>
                <c:pt idx="247">
                  <c:v>35065</c:v>
                </c:pt>
                <c:pt idx="248">
                  <c:v>35034</c:v>
                </c:pt>
                <c:pt idx="249">
                  <c:v>35004</c:v>
                </c:pt>
                <c:pt idx="250">
                  <c:v>34974</c:v>
                </c:pt>
                <c:pt idx="251">
                  <c:v>34943</c:v>
                </c:pt>
                <c:pt idx="252">
                  <c:v>34912</c:v>
                </c:pt>
                <c:pt idx="253">
                  <c:v>34883</c:v>
                </c:pt>
                <c:pt idx="254">
                  <c:v>34851</c:v>
                </c:pt>
                <c:pt idx="255">
                  <c:v>34820</c:v>
                </c:pt>
                <c:pt idx="256">
                  <c:v>34792</c:v>
                </c:pt>
                <c:pt idx="257">
                  <c:v>34759</c:v>
                </c:pt>
                <c:pt idx="258">
                  <c:v>34731</c:v>
                </c:pt>
                <c:pt idx="259">
                  <c:v>34701</c:v>
                </c:pt>
                <c:pt idx="260">
                  <c:v>34669</c:v>
                </c:pt>
                <c:pt idx="261">
                  <c:v>34639</c:v>
                </c:pt>
                <c:pt idx="262">
                  <c:v>34610</c:v>
                </c:pt>
                <c:pt idx="263">
                  <c:v>34578</c:v>
                </c:pt>
                <c:pt idx="264">
                  <c:v>34547</c:v>
                </c:pt>
                <c:pt idx="265">
                  <c:v>34516</c:v>
                </c:pt>
                <c:pt idx="266">
                  <c:v>34486</c:v>
                </c:pt>
                <c:pt idx="267">
                  <c:v>34456</c:v>
                </c:pt>
                <c:pt idx="268">
                  <c:v>34425</c:v>
                </c:pt>
                <c:pt idx="269">
                  <c:v>34394</c:v>
                </c:pt>
                <c:pt idx="270">
                  <c:v>34366</c:v>
                </c:pt>
                <c:pt idx="271">
                  <c:v>34337</c:v>
                </c:pt>
                <c:pt idx="272">
                  <c:v>34304</c:v>
                </c:pt>
                <c:pt idx="273">
                  <c:v>34274</c:v>
                </c:pt>
                <c:pt idx="274">
                  <c:v>34243</c:v>
                </c:pt>
                <c:pt idx="275">
                  <c:v>34213</c:v>
                </c:pt>
                <c:pt idx="276">
                  <c:v>34183</c:v>
                </c:pt>
                <c:pt idx="277">
                  <c:v>34151</c:v>
                </c:pt>
                <c:pt idx="278">
                  <c:v>34121</c:v>
                </c:pt>
                <c:pt idx="279">
                  <c:v>34092</c:v>
                </c:pt>
                <c:pt idx="280">
                  <c:v>34060</c:v>
                </c:pt>
                <c:pt idx="281">
                  <c:v>34029</c:v>
                </c:pt>
                <c:pt idx="282">
                  <c:v>34001</c:v>
                </c:pt>
                <c:pt idx="283">
                  <c:v>33970</c:v>
                </c:pt>
                <c:pt idx="284">
                  <c:v>33939</c:v>
                </c:pt>
                <c:pt idx="285">
                  <c:v>33910</c:v>
                </c:pt>
                <c:pt idx="286">
                  <c:v>33878</c:v>
                </c:pt>
                <c:pt idx="287">
                  <c:v>33848</c:v>
                </c:pt>
                <c:pt idx="288">
                  <c:v>33819</c:v>
                </c:pt>
                <c:pt idx="289">
                  <c:v>33786</c:v>
                </c:pt>
                <c:pt idx="290">
                  <c:v>33756</c:v>
                </c:pt>
                <c:pt idx="291">
                  <c:v>33725</c:v>
                </c:pt>
                <c:pt idx="292">
                  <c:v>33695</c:v>
                </c:pt>
                <c:pt idx="293">
                  <c:v>33665</c:v>
                </c:pt>
                <c:pt idx="294">
                  <c:v>33637</c:v>
                </c:pt>
                <c:pt idx="295">
                  <c:v>33604</c:v>
                </c:pt>
                <c:pt idx="296">
                  <c:v>33574</c:v>
                </c:pt>
                <c:pt idx="297">
                  <c:v>33543</c:v>
                </c:pt>
                <c:pt idx="298">
                  <c:v>33512</c:v>
                </c:pt>
                <c:pt idx="299">
                  <c:v>33483</c:v>
                </c:pt>
                <c:pt idx="300">
                  <c:v>33451</c:v>
                </c:pt>
                <c:pt idx="301">
                  <c:v>33420</c:v>
                </c:pt>
                <c:pt idx="302">
                  <c:v>33392</c:v>
                </c:pt>
                <c:pt idx="303">
                  <c:v>33359</c:v>
                </c:pt>
                <c:pt idx="304">
                  <c:v>33329</c:v>
                </c:pt>
                <c:pt idx="305">
                  <c:v>33298</c:v>
                </c:pt>
                <c:pt idx="306">
                  <c:v>33270</c:v>
                </c:pt>
                <c:pt idx="307">
                  <c:v>33239</c:v>
                </c:pt>
                <c:pt idx="308">
                  <c:v>33210</c:v>
                </c:pt>
                <c:pt idx="309">
                  <c:v>33178</c:v>
                </c:pt>
                <c:pt idx="310">
                  <c:v>33147</c:v>
                </c:pt>
                <c:pt idx="311">
                  <c:v>33119</c:v>
                </c:pt>
                <c:pt idx="312">
                  <c:v>33086</c:v>
                </c:pt>
                <c:pt idx="313">
                  <c:v>33056</c:v>
                </c:pt>
                <c:pt idx="314">
                  <c:v>33025</c:v>
                </c:pt>
                <c:pt idx="315">
                  <c:v>32994</c:v>
                </c:pt>
                <c:pt idx="316">
                  <c:v>32965</c:v>
                </c:pt>
                <c:pt idx="317">
                  <c:v>32933</c:v>
                </c:pt>
                <c:pt idx="318">
                  <c:v>32905</c:v>
                </c:pt>
                <c:pt idx="319">
                  <c:v>32874</c:v>
                </c:pt>
                <c:pt idx="320">
                  <c:v>32843</c:v>
                </c:pt>
                <c:pt idx="321">
                  <c:v>32813</c:v>
                </c:pt>
                <c:pt idx="322">
                  <c:v>32783</c:v>
                </c:pt>
                <c:pt idx="323">
                  <c:v>32752</c:v>
                </c:pt>
                <c:pt idx="324">
                  <c:v>32721</c:v>
                </c:pt>
                <c:pt idx="325">
                  <c:v>32692</c:v>
                </c:pt>
                <c:pt idx="326">
                  <c:v>32660</c:v>
                </c:pt>
                <c:pt idx="327">
                  <c:v>32629</c:v>
                </c:pt>
                <c:pt idx="328">
                  <c:v>32601</c:v>
                </c:pt>
                <c:pt idx="329">
                  <c:v>32568</c:v>
                </c:pt>
                <c:pt idx="330">
                  <c:v>32540</c:v>
                </c:pt>
                <c:pt idx="331">
                  <c:v>32510</c:v>
                </c:pt>
                <c:pt idx="332">
                  <c:v>32478</c:v>
                </c:pt>
                <c:pt idx="333">
                  <c:v>32448</c:v>
                </c:pt>
                <c:pt idx="334">
                  <c:v>32419</c:v>
                </c:pt>
                <c:pt idx="335">
                  <c:v>32387</c:v>
                </c:pt>
                <c:pt idx="336">
                  <c:v>32356</c:v>
                </c:pt>
                <c:pt idx="337">
                  <c:v>32325</c:v>
                </c:pt>
                <c:pt idx="338">
                  <c:v>32295</c:v>
                </c:pt>
                <c:pt idx="339">
                  <c:v>32265</c:v>
                </c:pt>
                <c:pt idx="340">
                  <c:v>32234</c:v>
                </c:pt>
                <c:pt idx="341">
                  <c:v>32203</c:v>
                </c:pt>
                <c:pt idx="342">
                  <c:v>32174</c:v>
                </c:pt>
                <c:pt idx="343">
                  <c:v>32143</c:v>
                </c:pt>
                <c:pt idx="344">
                  <c:v>32112</c:v>
                </c:pt>
                <c:pt idx="345">
                  <c:v>32083</c:v>
                </c:pt>
                <c:pt idx="346">
                  <c:v>32051</c:v>
                </c:pt>
                <c:pt idx="347">
                  <c:v>32021</c:v>
                </c:pt>
                <c:pt idx="348">
                  <c:v>31992</c:v>
                </c:pt>
                <c:pt idx="349">
                  <c:v>31959</c:v>
                </c:pt>
                <c:pt idx="350">
                  <c:v>31929</c:v>
                </c:pt>
                <c:pt idx="351">
                  <c:v>31898</c:v>
                </c:pt>
                <c:pt idx="352">
                  <c:v>31868</c:v>
                </c:pt>
                <c:pt idx="353">
                  <c:v>31838</c:v>
                </c:pt>
                <c:pt idx="354">
                  <c:v>31810</c:v>
                </c:pt>
                <c:pt idx="355">
                  <c:v>31778</c:v>
                </c:pt>
                <c:pt idx="356">
                  <c:v>31747</c:v>
                </c:pt>
                <c:pt idx="357">
                  <c:v>31719</c:v>
                </c:pt>
                <c:pt idx="358">
                  <c:v>31686</c:v>
                </c:pt>
                <c:pt idx="359">
                  <c:v>31656</c:v>
                </c:pt>
                <c:pt idx="360">
                  <c:v>31625</c:v>
                </c:pt>
                <c:pt idx="361">
                  <c:v>31594</c:v>
                </c:pt>
                <c:pt idx="362">
                  <c:v>31565</c:v>
                </c:pt>
                <c:pt idx="363">
                  <c:v>31533</c:v>
                </c:pt>
                <c:pt idx="364">
                  <c:v>31503</c:v>
                </c:pt>
                <c:pt idx="365">
                  <c:v>31474</c:v>
                </c:pt>
                <c:pt idx="366">
                  <c:v>31446</c:v>
                </c:pt>
                <c:pt idx="367">
                  <c:v>31413</c:v>
                </c:pt>
              </c:numCache>
            </c:numRef>
          </c:cat>
          <c:val>
            <c:numRef>
              <c:f>'Raw Data'!$E$7:$E$374</c:f>
              <c:numCache>
                <c:formatCode>0.00%</c:formatCode>
                <c:ptCount val="368"/>
                <c:pt idx="0">
                  <c:v>3.9050830843913323E-2</c:v>
                </c:pt>
                <c:pt idx="1">
                  <c:v>4.9643193343658042E-2</c:v>
                </c:pt>
                <c:pt idx="2">
                  <c:v>-4.7153071801268362E-2</c:v>
                </c:pt>
                <c:pt idx="3">
                  <c:v>2.7172581156119941E-2</c:v>
                </c:pt>
                <c:pt idx="4">
                  <c:v>-2.4994508332493561E-3</c:v>
                </c:pt>
                <c:pt idx="5">
                  <c:v>8.1360374043300005E-3</c:v>
                </c:pt>
                <c:pt idx="6">
                  <c:v>6.9014451796012731E-3</c:v>
                </c:pt>
                <c:pt idx="7">
                  <c:v>-4.1691368788142939E-2</c:v>
                </c:pt>
                <c:pt idx="8">
                  <c:v>-4.9666605772743884E-3</c:v>
                </c:pt>
                <c:pt idx="9">
                  <c:v>1.4754709507554973E-2</c:v>
                </c:pt>
                <c:pt idx="10">
                  <c:v>1.9117533236882502E-2</c:v>
                </c:pt>
                <c:pt idx="11">
                  <c:v>-9.3465713403482961E-3</c:v>
                </c:pt>
                <c:pt idx="12">
                  <c:v>-3.1901347473981309E-2</c:v>
                </c:pt>
                <c:pt idx="13">
                  <c:v>-2.235141389625701E-3</c:v>
                </c:pt>
                <c:pt idx="14">
                  <c:v>-3.7798706929671501E-2</c:v>
                </c:pt>
                <c:pt idx="15">
                  <c:v>3.9276861514858472E-2</c:v>
                </c:pt>
                <c:pt idx="16">
                  <c:v>2.0509945454757646E-2</c:v>
                </c:pt>
                <c:pt idx="17">
                  <c:v>-9.2348361439778138E-3</c:v>
                </c:pt>
                <c:pt idx="18">
                  <c:v>5.6139793098388249E-2</c:v>
                </c:pt>
                <c:pt idx="19">
                  <c:v>1.5811113879890312E-2</c:v>
                </c:pt>
                <c:pt idx="20">
                  <c:v>-5.6702028465368287E-2</c:v>
                </c:pt>
                <c:pt idx="21">
                  <c:v>-5.0142013110746217E-2</c:v>
                </c:pt>
                <c:pt idx="22">
                  <c:v>-6.471581995897191E-2</c:v>
                </c:pt>
                <c:pt idx="23">
                  <c:v>-0.10547774701626224</c:v>
                </c:pt>
                <c:pt idx="24">
                  <c:v>-5.2629381806037615E-2</c:v>
                </c:pt>
                <c:pt idx="25">
                  <c:v>-9.1470886565781548E-2</c:v>
                </c:pt>
                <c:pt idx="26">
                  <c:v>-9.6594043022614387E-2</c:v>
                </c:pt>
                <c:pt idx="27">
                  <c:v>-7.0698041582986038E-2</c:v>
                </c:pt>
                <c:pt idx="28">
                  <c:v>-0.10999825569291181</c:v>
                </c:pt>
                <c:pt idx="29">
                  <c:v>-0.11046915226814323</c:v>
                </c:pt>
                <c:pt idx="30">
                  <c:v>-2.0582637973942323E-2</c:v>
                </c:pt>
                <c:pt idx="31">
                  <c:v>-9.6805421103581896E-2</c:v>
                </c:pt>
                <c:pt idx="32">
                  <c:v>-5.0758004467609849E-2</c:v>
                </c:pt>
                <c:pt idx="33">
                  <c:v>-7.8595726174944508E-2</c:v>
                </c:pt>
                <c:pt idx="34">
                  <c:v>-4.1533546325878551E-2</c:v>
                </c:pt>
                <c:pt idx="35">
                  <c:v>-5.8439384848580495E-2</c:v>
                </c:pt>
                <c:pt idx="36">
                  <c:v>-8.9748058155745866E-2</c:v>
                </c:pt>
                <c:pt idx="37">
                  <c:v>1.994165717865998E-3</c:v>
                </c:pt>
                <c:pt idx="38">
                  <c:v>-0.10488485241647741</c:v>
                </c:pt>
                <c:pt idx="39">
                  <c:v>-4.0651113042315688E-2</c:v>
                </c:pt>
                <c:pt idx="40">
                  <c:v>-6.6190498503885947E-2</c:v>
                </c:pt>
                <c:pt idx="41">
                  <c:v>-5.1308258381030251E-2</c:v>
                </c:pt>
                <c:pt idx="42">
                  <c:v>-1.4653647593436726E-2</c:v>
                </c:pt>
                <c:pt idx="43">
                  <c:v>-1.4095696386417233E-2</c:v>
                </c:pt>
                <c:pt idx="44">
                  <c:v>2.8900676788000762E-2</c:v>
                </c:pt>
                <c:pt idx="45">
                  <c:v>-4.7635587753683114E-3</c:v>
                </c:pt>
                <c:pt idx="46">
                  <c:v>5.6878028228354747E-3</c:v>
                </c:pt>
                <c:pt idx="47">
                  <c:v>2.0081543236171118E-2</c:v>
                </c:pt>
                <c:pt idx="48">
                  <c:v>2.0024673258121614E-2</c:v>
                </c:pt>
                <c:pt idx="49">
                  <c:v>3.8941722630369789E-3</c:v>
                </c:pt>
                <c:pt idx="50">
                  <c:v>5.6578425971565774E-2</c:v>
                </c:pt>
                <c:pt idx="51">
                  <c:v>-8.220690374568615E-2</c:v>
                </c:pt>
                <c:pt idx="52">
                  <c:v>-2.0377345539720808E-2</c:v>
                </c:pt>
                <c:pt idx="53">
                  <c:v>3.0341383913865146E-4</c:v>
                </c:pt>
                <c:pt idx="54">
                  <c:v>3.8880319390254971E-2</c:v>
                </c:pt>
                <c:pt idx="55">
                  <c:v>3.930708357459943E-2</c:v>
                </c:pt>
                <c:pt idx="56">
                  <c:v>-9.8884729218526087E-3</c:v>
                </c:pt>
                <c:pt idx="57">
                  <c:v>1.4526535268893239E-2</c:v>
                </c:pt>
                <c:pt idx="58">
                  <c:v>7.4779294727687573E-2</c:v>
                </c:pt>
                <c:pt idx="59">
                  <c:v>-7.1611451478708121E-2</c:v>
                </c:pt>
                <c:pt idx="60">
                  <c:v>-8.0145066853097996E-2</c:v>
                </c:pt>
                <c:pt idx="61">
                  <c:v>-4.0547162446118362E-2</c:v>
                </c:pt>
                <c:pt idx="62">
                  <c:v>-6.3115122649835369E-3</c:v>
                </c:pt>
                <c:pt idx="63">
                  <c:v>3.8286113792988649E-3</c:v>
                </c:pt>
                <c:pt idx="64">
                  <c:v>2.6066087610067634E-2</c:v>
                </c:pt>
                <c:pt idx="65">
                  <c:v>1.5465565357133284E-3</c:v>
                </c:pt>
                <c:pt idx="66">
                  <c:v>1.1026403066717726E-3</c:v>
                </c:pt>
                <c:pt idx="67">
                  <c:v>-2.1420162762527114E-2</c:v>
                </c:pt>
                <c:pt idx="68">
                  <c:v>6.9338440046996574E-2</c:v>
                </c:pt>
                <c:pt idx="69">
                  <c:v>-2.4597022610870507E-2</c:v>
                </c:pt>
                <c:pt idx="70">
                  <c:v>2.3696011328770358E-2</c:v>
                </c:pt>
                <c:pt idx="71">
                  <c:v>4.6804957806955608E-2</c:v>
                </c:pt>
                <c:pt idx="72">
                  <c:v>-3.3072865409597418E-2</c:v>
                </c:pt>
                <c:pt idx="73">
                  <c:v>8.8523083487879711E-2</c:v>
                </c:pt>
                <c:pt idx="74">
                  <c:v>-2.6545674128750817E-2</c:v>
                </c:pt>
                <c:pt idx="75">
                  <c:v>-5.0659022400851135E-2</c:v>
                </c:pt>
                <c:pt idx="76">
                  <c:v>5.480382171783307E-3</c:v>
                </c:pt>
                <c:pt idx="77">
                  <c:v>7.2308258692402649E-2</c:v>
                </c:pt>
                <c:pt idx="78">
                  <c:v>3.4664538971295265E-3</c:v>
                </c:pt>
                <c:pt idx="79">
                  <c:v>-2.8686313828126205E-2</c:v>
                </c:pt>
                <c:pt idx="80">
                  <c:v>1.880437126646519E-2</c:v>
                </c:pt>
                <c:pt idx="81">
                  <c:v>6.1673781578500234E-5</c:v>
                </c:pt>
                <c:pt idx="82">
                  <c:v>-1.969378704100052E-2</c:v>
                </c:pt>
                <c:pt idx="83">
                  <c:v>6.0632181241066861E-2</c:v>
                </c:pt>
                <c:pt idx="84">
                  <c:v>8.0820920403620475E-2</c:v>
                </c:pt>
                <c:pt idx="85">
                  <c:v>6.5707880016678405E-2</c:v>
                </c:pt>
                <c:pt idx="86">
                  <c:v>-4.4340588097306406E-2</c:v>
                </c:pt>
                <c:pt idx="87">
                  <c:v>8.849171809973582E-5</c:v>
                </c:pt>
                <c:pt idx="88">
                  <c:v>0.1510360769421282</c:v>
                </c:pt>
                <c:pt idx="89">
                  <c:v>8.760916378577796E-2</c:v>
                </c:pt>
                <c:pt idx="90">
                  <c:v>-5.3532659879250509E-4</c:v>
                </c:pt>
                <c:pt idx="91">
                  <c:v>-5.6797999749515986E-2</c:v>
                </c:pt>
                <c:pt idx="92">
                  <c:v>9.0981906870723911E-2</c:v>
                </c:pt>
                <c:pt idx="93">
                  <c:v>-5.4377059178640927E-2</c:v>
                </c:pt>
                <c:pt idx="94">
                  <c:v>-0.20618645277778833</c:v>
                </c:pt>
                <c:pt idx="95">
                  <c:v>-0.16167329296974212</c:v>
                </c:pt>
                <c:pt idx="96">
                  <c:v>6.1306123372436398E-2</c:v>
                </c:pt>
                <c:pt idx="97">
                  <c:v>-7.1876558848092721E-3</c:v>
                </c:pt>
                <c:pt idx="98">
                  <c:v>-7.8813486767557173E-2</c:v>
                </c:pt>
                <c:pt idx="99">
                  <c:v>-2.3528243820113894E-3</c:v>
                </c:pt>
                <c:pt idx="100">
                  <c:v>-2.0694259012016162E-2</c:v>
                </c:pt>
                <c:pt idx="101">
                  <c:v>-6.9902835059158631E-5</c:v>
                </c:pt>
                <c:pt idx="102">
                  <c:v>-1.1652563171225013E-2</c:v>
                </c:pt>
                <c:pt idx="103">
                  <c:v>-7.2197132582835E-2</c:v>
                </c:pt>
                <c:pt idx="104">
                  <c:v>9.2613636363635676E-3</c:v>
                </c:pt>
                <c:pt idx="105">
                  <c:v>-6.745443030287257E-2</c:v>
                </c:pt>
                <c:pt idx="106">
                  <c:v>5.2745566935884128E-2</c:v>
                </c:pt>
                <c:pt idx="107">
                  <c:v>-2.82610226792506E-2</c:v>
                </c:pt>
                <c:pt idx="108">
                  <c:v>1.075172715816578E-2</c:v>
                </c:pt>
                <c:pt idx="109">
                  <c:v>-1.7062153750119147E-2</c:v>
                </c:pt>
                <c:pt idx="110">
                  <c:v>-5.4859101232300568E-2</c:v>
                </c:pt>
                <c:pt idx="111">
                  <c:v>1.6765451584196712E-2</c:v>
                </c:pt>
                <c:pt idx="112">
                  <c:v>1.4422013979829621E-2</c:v>
                </c:pt>
                <c:pt idx="113">
                  <c:v>6.4221269312357152E-2</c:v>
                </c:pt>
                <c:pt idx="114">
                  <c:v>-1.2351289934500768E-2</c:v>
                </c:pt>
                <c:pt idx="115">
                  <c:v>-1.8766684935381882E-2</c:v>
                </c:pt>
                <c:pt idx="116">
                  <c:v>4.4761611006738977E-2</c:v>
                </c:pt>
                <c:pt idx="117">
                  <c:v>2.5468589380241945E-2</c:v>
                </c:pt>
                <c:pt idx="118">
                  <c:v>3.4746954778080499E-2</c:v>
                </c:pt>
                <c:pt idx="119">
                  <c:v>3.0372805887385234E-2</c:v>
                </c:pt>
                <c:pt idx="120">
                  <c:v>2.7446632736487449E-2</c:v>
                </c:pt>
                <c:pt idx="121">
                  <c:v>-1.4873415388956925E-2</c:v>
                </c:pt>
                <c:pt idx="122">
                  <c:v>1.205638413734289E-2</c:v>
                </c:pt>
                <c:pt idx="123">
                  <c:v>-6.3091158431215405E-2</c:v>
                </c:pt>
                <c:pt idx="124">
                  <c:v>-2.3985329479496087E-4</c:v>
                </c:pt>
                <c:pt idx="125">
                  <c:v>3.6448310004240335E-2</c:v>
                </c:pt>
                <c:pt idx="126">
                  <c:v>1.8561720036912175E-2</c:v>
                </c:pt>
                <c:pt idx="127">
                  <c:v>3.1398741756480941E-2</c:v>
                </c:pt>
                <c:pt idx="128">
                  <c:v>4.687181941225417E-2</c:v>
                </c:pt>
                <c:pt idx="129">
                  <c:v>7.0827081010812615E-2</c:v>
                </c:pt>
                <c:pt idx="130">
                  <c:v>-3.2221870811307368E-2</c:v>
                </c:pt>
                <c:pt idx="131">
                  <c:v>1.9569147913060161E-2</c:v>
                </c:pt>
                <c:pt idx="132">
                  <c:v>1.7250341961348503E-2</c:v>
                </c:pt>
                <c:pt idx="133">
                  <c:v>2.134660193522837E-2</c:v>
                </c:pt>
                <c:pt idx="134">
                  <c:v>3.0846840192383557E-2</c:v>
                </c:pt>
                <c:pt idx="135">
                  <c:v>4.8239991748810288E-2</c:v>
                </c:pt>
                <c:pt idx="136">
                  <c:v>-6.290038659937397E-2</c:v>
                </c:pt>
                <c:pt idx="137">
                  <c:v>-2.0636581895296643E-2</c:v>
                </c:pt>
                <c:pt idx="138">
                  <c:v>3.954078984700001E-3</c:v>
                </c:pt>
                <c:pt idx="139">
                  <c:v>2.6173422191419066E-2</c:v>
                </c:pt>
                <c:pt idx="140">
                  <c:v>5.1969105762566976E-2</c:v>
                </c:pt>
                <c:pt idx="141">
                  <c:v>3.3988816593069564E-2</c:v>
                </c:pt>
                <c:pt idx="142">
                  <c:v>-1.7716693957534023E-3</c:v>
                </c:pt>
                <c:pt idx="143">
                  <c:v>2.6251127492146531E-2</c:v>
                </c:pt>
                <c:pt idx="144">
                  <c:v>1.1562595551774094E-2</c:v>
                </c:pt>
                <c:pt idx="145">
                  <c:v>-3.4695401617302508E-2</c:v>
                </c:pt>
                <c:pt idx="146">
                  <c:v>4.1725780678305291E-2</c:v>
                </c:pt>
                <c:pt idx="147">
                  <c:v>-2.8132314835328839E-2</c:v>
                </c:pt>
                <c:pt idx="148">
                  <c:v>-1.3277197442109817E-2</c:v>
                </c:pt>
                <c:pt idx="149">
                  <c:v>-9.978695035326406E-3</c:v>
                </c:pt>
                <c:pt idx="150">
                  <c:v>3.508418586760384E-2</c:v>
                </c:pt>
                <c:pt idx="151">
                  <c:v>3.2524073813792603E-2</c:v>
                </c:pt>
                <c:pt idx="152">
                  <c:v>8.5624593691659874E-3</c:v>
                </c:pt>
                <c:pt idx="153">
                  <c:v>-9.6304206872878766E-3</c:v>
                </c:pt>
                <c:pt idx="154">
                  <c:v>4.5204734099465745E-2</c:v>
                </c:pt>
                <c:pt idx="155">
                  <c:v>-3.3302691031724438E-2</c:v>
                </c:pt>
                <c:pt idx="156">
                  <c:v>4.6423827430730841E-2</c:v>
                </c:pt>
                <c:pt idx="157">
                  <c:v>8.125244904464414E-2</c:v>
                </c:pt>
                <c:pt idx="158">
                  <c:v>1.7108781852273033E-2</c:v>
                </c:pt>
                <c:pt idx="159">
                  <c:v>0.10071680983053485</c:v>
                </c:pt>
                <c:pt idx="160">
                  <c:v>0.10637992181060622</c:v>
                </c:pt>
                <c:pt idx="161">
                  <c:v>-2.8279477011268549E-2</c:v>
                </c:pt>
                <c:pt idx="162">
                  <c:v>-8.4041455867184672E-3</c:v>
                </c:pt>
                <c:pt idx="163">
                  <c:v>-7.5275303392050963E-2</c:v>
                </c:pt>
                <c:pt idx="164">
                  <c:v>-5.5671306670980789E-2</c:v>
                </c:pt>
                <c:pt idx="165">
                  <c:v>3.2752862703515996E-2</c:v>
                </c:pt>
                <c:pt idx="166">
                  <c:v>3.4936676833982286E-2</c:v>
                </c:pt>
                <c:pt idx="167">
                  <c:v>-0.11638092725496413</c:v>
                </c:pt>
                <c:pt idx="168">
                  <c:v>2.7751807463374769E-2</c:v>
                </c:pt>
                <c:pt idx="169">
                  <c:v>-0.12993903281896818</c:v>
                </c:pt>
                <c:pt idx="170">
                  <c:v>-8.4274885464389784E-2</c:v>
                </c:pt>
                <c:pt idx="171">
                  <c:v>-1.0977422218734118E-2</c:v>
                </c:pt>
                <c:pt idx="172">
                  <c:v>-1.2006847226502198E-2</c:v>
                </c:pt>
                <c:pt idx="173">
                  <c:v>5.197305101058701E-2</c:v>
                </c:pt>
                <c:pt idx="174">
                  <c:v>-3.5560444215193142E-3</c:v>
                </c:pt>
                <c:pt idx="175">
                  <c:v>-1.8850707362813232E-2</c:v>
                </c:pt>
                <c:pt idx="176">
                  <c:v>1.9656116676538625E-2</c:v>
                </c:pt>
                <c:pt idx="177">
                  <c:v>9.5051603132318696E-2</c:v>
                </c:pt>
                <c:pt idx="178">
                  <c:v>5.8992246225759659E-2</c:v>
                </c:pt>
                <c:pt idx="179">
                  <c:v>-0.1585005975974445</c:v>
                </c:pt>
                <c:pt idx="180">
                  <c:v>-3.9378029079158933E-3</c:v>
                </c:pt>
                <c:pt idx="181">
                  <c:v>-3.2893471074511557E-2</c:v>
                </c:pt>
                <c:pt idx="182">
                  <c:v>-4.5545736659635974E-2</c:v>
                </c:pt>
                <c:pt idx="183">
                  <c:v>2.5841491572204861E-2</c:v>
                </c:pt>
                <c:pt idx="184">
                  <c:v>4.9489759158462786E-2</c:v>
                </c:pt>
                <c:pt idx="185">
                  <c:v>-7.741656171284636E-2</c:v>
                </c:pt>
                <c:pt idx="186">
                  <c:v>-1.3771183298380141E-2</c:v>
                </c:pt>
                <c:pt idx="187">
                  <c:v>3.1351341419721408E-2</c:v>
                </c:pt>
                <c:pt idx="188">
                  <c:v>1.3068133466397449E-2</c:v>
                </c:pt>
                <c:pt idx="189">
                  <c:v>-3.9377112614412221E-2</c:v>
                </c:pt>
                <c:pt idx="190">
                  <c:v>-1.0194696607740182E-2</c:v>
                </c:pt>
                <c:pt idx="191">
                  <c:v>-6.0771537730063135E-2</c:v>
                </c:pt>
                <c:pt idx="192">
                  <c:v>4.5370859975679328E-2</c:v>
                </c:pt>
                <c:pt idx="193">
                  <c:v>2.4862918331526748E-2</c:v>
                </c:pt>
                <c:pt idx="194">
                  <c:v>4.6508604630884812E-2</c:v>
                </c:pt>
                <c:pt idx="195">
                  <c:v>-8.8124026171419127E-3</c:v>
                </c:pt>
                <c:pt idx="196">
                  <c:v>-2.708917061402951E-2</c:v>
                </c:pt>
                <c:pt idx="197">
                  <c:v>-2.1383997593941294E-2</c:v>
                </c:pt>
                <c:pt idx="198">
                  <c:v>4.6583009547294295E-2</c:v>
                </c:pt>
                <c:pt idx="199">
                  <c:v>-3.9030980695172669E-2</c:v>
                </c:pt>
                <c:pt idx="200">
                  <c:v>3.9498514511337186E-2</c:v>
                </c:pt>
                <c:pt idx="201">
                  <c:v>9.7602721522351679E-2</c:v>
                </c:pt>
                <c:pt idx="202">
                  <c:v>-7.875488578512271E-3</c:v>
                </c:pt>
                <c:pt idx="203">
                  <c:v>-6.2439621092474938E-2</c:v>
                </c:pt>
                <c:pt idx="204">
                  <c:v>8.0099294985502244E-3</c:v>
                </c:pt>
                <c:pt idx="205">
                  <c:v>1.223598355874506E-2</c:v>
                </c:pt>
                <c:pt idx="206">
                  <c:v>3.360969421512388E-2</c:v>
                </c:pt>
                <c:pt idx="207">
                  <c:v>-4.2184575351679618E-2</c:v>
                </c:pt>
                <c:pt idx="208">
                  <c:v>7.2663858596490633E-2</c:v>
                </c:pt>
                <c:pt idx="209">
                  <c:v>4.1229271261220182E-2</c:v>
                </c:pt>
                <c:pt idx="210">
                  <c:v>2.4678342021515563E-2</c:v>
                </c:pt>
                <c:pt idx="211">
                  <c:v>3.491461882299627E-2</c:v>
                </c:pt>
                <c:pt idx="212">
                  <c:v>6.9046191881627916E-3</c:v>
                </c:pt>
                <c:pt idx="213">
                  <c:v>2.8438384863413171E-3</c:v>
                </c:pt>
                <c:pt idx="214">
                  <c:v>8.3343653250773905E-2</c:v>
                </c:pt>
                <c:pt idx="215">
                  <c:v>-1.7965158872687924E-2</c:v>
                </c:pt>
                <c:pt idx="216">
                  <c:v>-0.12146125761989461</c:v>
                </c:pt>
                <c:pt idx="217">
                  <c:v>-9.4239059343867518E-3</c:v>
                </c:pt>
                <c:pt idx="218">
                  <c:v>-6.6974858152241148E-2</c:v>
                </c:pt>
                <c:pt idx="219">
                  <c:v>4.394857924241586E-2</c:v>
                </c:pt>
                <c:pt idx="220">
                  <c:v>1.3736794844230156E-2</c:v>
                </c:pt>
                <c:pt idx="221">
                  <c:v>5.1547510072184895E-2</c:v>
                </c:pt>
                <c:pt idx="222">
                  <c:v>6.6145044348829687E-2</c:v>
                </c:pt>
                <c:pt idx="223">
                  <c:v>1.5431531456261843E-2</c:v>
                </c:pt>
                <c:pt idx="224">
                  <c:v>2.7911370663002401E-2</c:v>
                </c:pt>
                <c:pt idx="225">
                  <c:v>-1.479543700145927E-3</c:v>
                </c:pt>
                <c:pt idx="226">
                  <c:v>-4.054221597718722E-2</c:v>
                </c:pt>
                <c:pt idx="227">
                  <c:v>4.7655199340592563E-2</c:v>
                </c:pt>
                <c:pt idx="228">
                  <c:v>2.5621602352731487E-2</c:v>
                </c:pt>
                <c:pt idx="229">
                  <c:v>8.8714205502526677E-3</c:v>
                </c:pt>
                <c:pt idx="230">
                  <c:v>-1.1289854749101822E-2</c:v>
                </c:pt>
                <c:pt idx="231">
                  <c:v>-1.3993469714133808E-3</c:v>
                </c:pt>
                <c:pt idx="232">
                  <c:v>2.8905589896388627E-4</c:v>
                </c:pt>
                <c:pt idx="233">
                  <c:v>-1.6822429906542095E-2</c:v>
                </c:pt>
                <c:pt idx="234">
                  <c:v>1.7377429014841857E-2</c:v>
                </c:pt>
                <c:pt idx="235">
                  <c:v>2.338321753073223E-2</c:v>
                </c:pt>
                <c:pt idx="236">
                  <c:v>1.7124218537645976E-2</c:v>
                </c:pt>
                <c:pt idx="237">
                  <c:v>-1.580420843492771E-4</c:v>
                </c:pt>
                <c:pt idx="238">
                  <c:v>2.8799492040454937E-3</c:v>
                </c:pt>
                <c:pt idx="239">
                  <c:v>-5.1880380607158211E-3</c:v>
                </c:pt>
                <c:pt idx="240">
                  <c:v>4.0820174404902147E-2</c:v>
                </c:pt>
                <c:pt idx="241">
                  <c:v>-3.1987918725974576E-2</c:v>
                </c:pt>
                <c:pt idx="242">
                  <c:v>-3.3803129508378688E-2</c:v>
                </c:pt>
                <c:pt idx="243">
                  <c:v>-6.6298099160812234E-3</c:v>
                </c:pt>
                <c:pt idx="244">
                  <c:v>5.1977166100441556E-2</c:v>
                </c:pt>
                <c:pt idx="245">
                  <c:v>2.1315267680105793E-2</c:v>
                </c:pt>
                <c:pt idx="246">
                  <c:v>2.0853011698031044E-2</c:v>
                </c:pt>
                <c:pt idx="247">
                  <c:v>2.5787680600800691E-2</c:v>
                </c:pt>
                <c:pt idx="248">
                  <c:v>1.453187678179488E-2</c:v>
                </c:pt>
                <c:pt idx="249">
                  <c:v>1.8156101324418132E-2</c:v>
                </c:pt>
                <c:pt idx="250">
                  <c:v>-1.631766399757506E-2</c:v>
                </c:pt>
                <c:pt idx="251">
                  <c:v>4.3237194160435418E-3</c:v>
                </c:pt>
                <c:pt idx="252">
                  <c:v>2.4155347936458137E-2</c:v>
                </c:pt>
                <c:pt idx="253">
                  <c:v>6.2836824268014832E-2</c:v>
                </c:pt>
                <c:pt idx="254">
                  <c:v>-2.2368564275606909E-2</c:v>
                </c:pt>
                <c:pt idx="255">
                  <c:v>3.5276117077040772E-2</c:v>
                </c:pt>
                <c:pt idx="256">
                  <c:v>2.6937398184780054E-2</c:v>
                </c:pt>
                <c:pt idx="257">
                  <c:v>1.1961933944197258E-2</c:v>
                </c:pt>
                <c:pt idx="258">
                  <c:v>1.8947804719187883E-3</c:v>
                </c:pt>
                <c:pt idx="259">
                  <c:v>-3.7523559312353669E-2</c:v>
                </c:pt>
                <c:pt idx="260">
                  <c:v>7.1036208334532436E-3</c:v>
                </c:pt>
                <c:pt idx="261">
                  <c:v>-7.6610958204466131E-3</c:v>
                </c:pt>
                <c:pt idx="262">
                  <c:v>1.9509508348794117E-2</c:v>
                </c:pt>
                <c:pt idx="263">
                  <c:v>-7.8934190759823941E-2</c:v>
                </c:pt>
                <c:pt idx="264">
                  <c:v>4.8113362992255673E-2</c:v>
                </c:pt>
                <c:pt idx="265">
                  <c:v>6.5694712805199257E-2</c:v>
                </c:pt>
                <c:pt idx="266">
                  <c:v>-3.4937954037934225E-2</c:v>
                </c:pt>
                <c:pt idx="267">
                  <c:v>-5.7337811747903977E-2</c:v>
                </c:pt>
                <c:pt idx="268">
                  <c:v>7.5141890271522866E-3</c:v>
                </c:pt>
                <c:pt idx="269">
                  <c:v>-4.8598083455863667E-2</c:v>
                </c:pt>
                <c:pt idx="270">
                  <c:v>-3.5416768159010001E-2</c:v>
                </c:pt>
                <c:pt idx="271">
                  <c:v>7.7282198718117798E-2</c:v>
                </c:pt>
                <c:pt idx="272">
                  <c:v>6.3299304464886769E-2</c:v>
                </c:pt>
                <c:pt idx="273">
                  <c:v>-1.0112199971594918E-2</c:v>
                </c:pt>
                <c:pt idx="274">
                  <c:v>2.9591151837044416E-2</c:v>
                </c:pt>
                <c:pt idx="275">
                  <c:v>-1.7879108619160686E-2</c:v>
                </c:pt>
                <c:pt idx="276">
                  <c:v>5.2948760231463408E-2</c:v>
                </c:pt>
                <c:pt idx="277">
                  <c:v>1.998951167597254E-2</c:v>
                </c:pt>
                <c:pt idx="278">
                  <c:v>2.1918327385276073E-2</c:v>
                </c:pt>
                <c:pt idx="279">
                  <c:v>1.0631844449410996E-2</c:v>
                </c:pt>
                <c:pt idx="280">
                  <c:v>8.0136457260556425E-3</c:v>
                </c:pt>
                <c:pt idx="281">
                  <c:v>1.9051054202052782E-2</c:v>
                </c:pt>
                <c:pt idx="282">
                  <c:v>1.5825749464668002E-2</c:v>
                </c:pt>
                <c:pt idx="283">
                  <c:v>3.210031785951311E-2</c:v>
                </c:pt>
                <c:pt idx="284">
                  <c:v>8.258650028360752E-2</c:v>
                </c:pt>
                <c:pt idx="285">
                  <c:v>3.7609662063810501E-2</c:v>
                </c:pt>
                <c:pt idx="286">
                  <c:v>4.9093027125977705E-2</c:v>
                </c:pt>
                <c:pt idx="287">
                  <c:v>0.10315489330389979</c:v>
                </c:pt>
                <c:pt idx="288">
                  <c:v>-5.1128990397093288E-2</c:v>
                </c:pt>
                <c:pt idx="289">
                  <c:v>-8.8888009810514756E-2</c:v>
                </c:pt>
                <c:pt idx="290">
                  <c:v>-8.0106809078771685E-2</c:v>
                </c:pt>
                <c:pt idx="291">
                  <c:v>2.0258367586611793E-2</c:v>
                </c:pt>
                <c:pt idx="292">
                  <c:v>0.15165152415725558</c:v>
                </c:pt>
                <c:pt idx="293">
                  <c:v>-4.3331345656927055E-2</c:v>
                </c:pt>
                <c:pt idx="294">
                  <c:v>2.1216292817232016E-2</c:v>
                </c:pt>
                <c:pt idx="295">
                  <c:v>4.6346414073071676E-2</c:v>
                </c:pt>
                <c:pt idx="296">
                  <c:v>-9.5493382476125512E-3</c:v>
                </c:pt>
                <c:pt idx="297">
                  <c:v>-5.9021394766691299E-2</c:v>
                </c:pt>
                <c:pt idx="298">
                  <c:v>-2.8707952520004652E-2</c:v>
                </c:pt>
                <c:pt idx="299">
                  <c:v>1.1422044545980655E-4</c:v>
                </c:pt>
                <c:pt idx="300">
                  <c:v>3.9009782391694878E-2</c:v>
                </c:pt>
                <c:pt idx="301">
                  <c:v>4.8850092328353044E-2</c:v>
                </c:pt>
                <c:pt idx="302">
                  <c:v>-3.6547276193566854E-2</c:v>
                </c:pt>
                <c:pt idx="303">
                  <c:v>-1.9071938714439685E-2</c:v>
                </c:pt>
                <c:pt idx="304">
                  <c:v>-4.9761146496815284E-3</c:v>
                </c:pt>
                <c:pt idx="305">
                  <c:v>3.9433938842222946E-2</c:v>
                </c:pt>
                <c:pt idx="306">
                  <c:v>0.14128885086968929</c:v>
                </c:pt>
                <c:pt idx="307">
                  <c:v>-1.4712794960985326E-2</c:v>
                </c:pt>
                <c:pt idx="308">
                  <c:v>1.2236445783132101E-3</c:v>
                </c:pt>
                <c:pt idx="309">
                  <c:v>3.0017110730872692E-2</c:v>
                </c:pt>
                <c:pt idx="310">
                  <c:v>3.6223158739715051E-2</c:v>
                </c:pt>
                <c:pt idx="311">
                  <c:v>-9.7434959535457874E-2</c:v>
                </c:pt>
                <c:pt idx="312">
                  <c:v>-0.11803595904216711</c:v>
                </c:pt>
                <c:pt idx="313">
                  <c:v>-2.2220471200062895E-2</c:v>
                </c:pt>
                <c:pt idx="314">
                  <c:v>1.5633121426572274E-2</c:v>
                </c:pt>
                <c:pt idx="315">
                  <c:v>8.4670387164283351E-2</c:v>
                </c:pt>
                <c:pt idx="316">
                  <c:v>-5.5142195767195618E-2</c:v>
                </c:pt>
                <c:pt idx="317">
                  <c:v>-4.4927299460872407E-3</c:v>
                </c:pt>
                <c:pt idx="318">
                  <c:v>-5.0812851529393667E-2</c:v>
                </c:pt>
                <c:pt idx="319">
                  <c:v>-2.6560973777143386E-2</c:v>
                </c:pt>
                <c:pt idx="320">
                  <c:v>3.8346011312658544E-2</c:v>
                </c:pt>
                <c:pt idx="321">
                  <c:v>2.9019481044378057E-2</c:v>
                </c:pt>
                <c:pt idx="322">
                  <c:v>-8.2879522566206565E-2</c:v>
                </c:pt>
                <c:pt idx="323">
                  <c:v>-2.3394777822040472E-2</c:v>
                </c:pt>
                <c:pt idx="324">
                  <c:v>1.162533215234721E-2</c:v>
                </c:pt>
                <c:pt idx="325">
                  <c:v>5.817163743827055E-2</c:v>
                </c:pt>
                <c:pt idx="326">
                  <c:v>-1.9923431518088768E-3</c:v>
                </c:pt>
                <c:pt idx="327">
                  <c:v>1.0766208251473513E-2</c:v>
                </c:pt>
                <c:pt idx="328">
                  <c:v>-3.9277297721916735E-4</c:v>
                </c:pt>
                <c:pt idx="329">
                  <c:v>1.335552649308438E-2</c:v>
                </c:pt>
                <c:pt idx="330">
                  <c:v>1.3591133403446471E-2</c:v>
                </c:pt>
                <c:pt idx="331">
                  <c:v>0.13138552841816944</c:v>
                </c:pt>
                <c:pt idx="332">
                  <c:v>-1.007772957339126E-2</c:v>
                </c:pt>
                <c:pt idx="333">
                  <c:v>-4.0607178079842127E-2</c:v>
                </c:pt>
                <c:pt idx="334">
                  <c:v>4.5632686157033975E-2</c:v>
                </c:pt>
                <c:pt idx="335">
                  <c:v>5.2065727699530558E-2</c:v>
                </c:pt>
                <c:pt idx="336">
                  <c:v>-6.898036513951096E-2</c:v>
                </c:pt>
                <c:pt idx="337">
                  <c:v>9.7193643010377272E-3</c:v>
                </c:pt>
                <c:pt idx="338">
                  <c:v>4.0739051094890594E-2</c:v>
                </c:pt>
                <c:pt idx="339">
                  <c:v>1.471332015264986E-3</c:v>
                </c:pt>
                <c:pt idx="340">
                  <c:v>3.8237540576665986E-2</c:v>
                </c:pt>
                <c:pt idx="341">
                  <c:v>-1.790904828879504E-2</c:v>
                </c:pt>
                <c:pt idx="342">
                  <c:v>1.3692162417375312E-3</c:v>
                </c:pt>
                <c:pt idx="343">
                  <c:v>6.5447256326735107E-2</c:v>
                </c:pt>
                <c:pt idx="344">
                  <c:v>0.12371888726207909</c:v>
                </c:pt>
                <c:pt idx="345">
                  <c:v>-9.8602287166454888E-2</c:v>
                </c:pt>
                <c:pt idx="346">
                  <c:v>-0.29481349911190058</c:v>
                </c:pt>
                <c:pt idx="347">
                  <c:v>6.0317581204066904E-2</c:v>
                </c:pt>
                <c:pt idx="348">
                  <c:v>-3.3918344725660514E-2</c:v>
                </c:pt>
                <c:pt idx="349">
                  <c:v>5.6248556248556209E-2</c:v>
                </c:pt>
                <c:pt idx="350">
                  <c:v>7.0194250835154987E-2</c:v>
                </c:pt>
                <c:pt idx="351">
                  <c:v>5.4574991218826918E-2</c:v>
                </c:pt>
                <c:pt idx="352">
                  <c:v>2.1761751798398364E-2</c:v>
                </c:pt>
                <c:pt idx="353">
                  <c:v>2.4586028163845655E-2</c:v>
                </c:pt>
                <c:pt idx="354">
                  <c:v>6.183945337462516E-2</c:v>
                </c:pt>
                <c:pt idx="355">
                  <c:v>9.5121951219512196E-2</c:v>
                </c:pt>
                <c:pt idx="356">
                  <c:v>1.793103448275862E-2</c:v>
                </c:pt>
                <c:pt idx="357">
                  <c:v>1.9689003244210787E-2</c:v>
                </c:pt>
                <c:pt idx="358">
                  <c:v>4.9693106704438036E-2</c:v>
                </c:pt>
                <c:pt idx="359">
                  <c:v>-6.4065617379738496E-2</c:v>
                </c:pt>
                <c:pt idx="360">
                  <c:v>4.0936353578291479E-2</c:v>
                </c:pt>
                <c:pt idx="361">
                  <c:v>-5.602950079806273E-2</c:v>
                </c:pt>
                <c:pt idx="362">
                  <c:v>4.0839937525307984E-2</c:v>
                </c:pt>
                <c:pt idx="363">
                  <c:v>-2.602377063031603E-2</c:v>
                </c:pt>
                <c:pt idx="364">
                  <c:v>2.3032519860547496E-2</c:v>
                </c:pt>
                <c:pt idx="365">
                  <c:v>7.8568310781318193E-2</c:v>
                </c:pt>
                <c:pt idx="366">
                  <c:v>9.075470416411939E-2</c:v>
                </c:pt>
                <c:pt idx="367">
                  <c:v>2.5479033601777158E-2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8-4865-82E4-BB525CA4F74C}"/>
            </c:ext>
          </c:extLst>
        </c:ser>
        <c:ser>
          <c:idx val="1"/>
          <c:order val="1"/>
          <c:tx>
            <c:v>Mean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'Raw Data'!$B$7:$B$374</c:f>
              <c:numCache>
                <c:formatCode>mmm\-yy</c:formatCode>
                <c:ptCount val="368"/>
                <c:pt idx="0">
                  <c:v>42583</c:v>
                </c:pt>
                <c:pt idx="1">
                  <c:v>42552</c:v>
                </c:pt>
                <c:pt idx="2">
                  <c:v>42523</c:v>
                </c:pt>
                <c:pt idx="3">
                  <c:v>42493</c:v>
                </c:pt>
                <c:pt idx="4">
                  <c:v>42461</c:v>
                </c:pt>
                <c:pt idx="5">
                  <c:v>42430</c:v>
                </c:pt>
                <c:pt idx="6">
                  <c:v>42401</c:v>
                </c:pt>
                <c:pt idx="7">
                  <c:v>42374</c:v>
                </c:pt>
                <c:pt idx="8">
                  <c:v>42339</c:v>
                </c:pt>
                <c:pt idx="9">
                  <c:v>42310</c:v>
                </c:pt>
                <c:pt idx="10">
                  <c:v>42279</c:v>
                </c:pt>
                <c:pt idx="11">
                  <c:v>42248</c:v>
                </c:pt>
                <c:pt idx="12">
                  <c:v>42219</c:v>
                </c:pt>
                <c:pt idx="13">
                  <c:v>42186</c:v>
                </c:pt>
                <c:pt idx="14">
                  <c:v>42156</c:v>
                </c:pt>
                <c:pt idx="15">
                  <c:v>42125</c:v>
                </c:pt>
                <c:pt idx="16">
                  <c:v>42095</c:v>
                </c:pt>
                <c:pt idx="17">
                  <c:v>42065</c:v>
                </c:pt>
                <c:pt idx="18">
                  <c:v>42037</c:v>
                </c:pt>
                <c:pt idx="19">
                  <c:v>42006</c:v>
                </c:pt>
                <c:pt idx="20">
                  <c:v>41974</c:v>
                </c:pt>
                <c:pt idx="21">
                  <c:v>41946</c:v>
                </c:pt>
                <c:pt idx="22">
                  <c:v>41913</c:v>
                </c:pt>
                <c:pt idx="23">
                  <c:v>41883</c:v>
                </c:pt>
                <c:pt idx="24">
                  <c:v>41852</c:v>
                </c:pt>
                <c:pt idx="25">
                  <c:v>41821</c:v>
                </c:pt>
                <c:pt idx="26">
                  <c:v>41792</c:v>
                </c:pt>
                <c:pt idx="27">
                  <c:v>41760</c:v>
                </c:pt>
                <c:pt idx="28">
                  <c:v>41730</c:v>
                </c:pt>
                <c:pt idx="29">
                  <c:v>41701</c:v>
                </c:pt>
                <c:pt idx="30">
                  <c:v>41673</c:v>
                </c:pt>
                <c:pt idx="31">
                  <c:v>41641</c:v>
                </c:pt>
                <c:pt idx="32">
                  <c:v>41610</c:v>
                </c:pt>
                <c:pt idx="33">
                  <c:v>41579</c:v>
                </c:pt>
                <c:pt idx="34">
                  <c:v>41548</c:v>
                </c:pt>
                <c:pt idx="35">
                  <c:v>41519</c:v>
                </c:pt>
                <c:pt idx="36">
                  <c:v>41487</c:v>
                </c:pt>
                <c:pt idx="37">
                  <c:v>41456</c:v>
                </c:pt>
                <c:pt idx="38">
                  <c:v>41428</c:v>
                </c:pt>
                <c:pt idx="39">
                  <c:v>41395</c:v>
                </c:pt>
                <c:pt idx="40">
                  <c:v>41366</c:v>
                </c:pt>
                <c:pt idx="41">
                  <c:v>41334</c:v>
                </c:pt>
                <c:pt idx="42">
                  <c:v>41306</c:v>
                </c:pt>
                <c:pt idx="43">
                  <c:v>41276</c:v>
                </c:pt>
                <c:pt idx="44">
                  <c:v>41246</c:v>
                </c:pt>
                <c:pt idx="45">
                  <c:v>41214</c:v>
                </c:pt>
                <c:pt idx="46">
                  <c:v>41183</c:v>
                </c:pt>
                <c:pt idx="47">
                  <c:v>41155</c:v>
                </c:pt>
                <c:pt idx="48">
                  <c:v>41122</c:v>
                </c:pt>
                <c:pt idx="49">
                  <c:v>41092</c:v>
                </c:pt>
                <c:pt idx="50">
                  <c:v>41061</c:v>
                </c:pt>
                <c:pt idx="51">
                  <c:v>41030</c:v>
                </c:pt>
                <c:pt idx="52">
                  <c:v>41001</c:v>
                </c:pt>
                <c:pt idx="53">
                  <c:v>40969</c:v>
                </c:pt>
                <c:pt idx="54">
                  <c:v>40940</c:v>
                </c:pt>
                <c:pt idx="55">
                  <c:v>40911</c:v>
                </c:pt>
                <c:pt idx="56">
                  <c:v>40878</c:v>
                </c:pt>
                <c:pt idx="57">
                  <c:v>40848</c:v>
                </c:pt>
                <c:pt idx="58">
                  <c:v>40819</c:v>
                </c:pt>
                <c:pt idx="59">
                  <c:v>40787</c:v>
                </c:pt>
                <c:pt idx="60">
                  <c:v>40756</c:v>
                </c:pt>
                <c:pt idx="61">
                  <c:v>40725</c:v>
                </c:pt>
                <c:pt idx="62">
                  <c:v>40695</c:v>
                </c:pt>
                <c:pt idx="63">
                  <c:v>40666</c:v>
                </c:pt>
                <c:pt idx="64">
                  <c:v>40634</c:v>
                </c:pt>
                <c:pt idx="65">
                  <c:v>40603</c:v>
                </c:pt>
                <c:pt idx="66">
                  <c:v>40575</c:v>
                </c:pt>
                <c:pt idx="67">
                  <c:v>40547</c:v>
                </c:pt>
                <c:pt idx="68">
                  <c:v>40513</c:v>
                </c:pt>
                <c:pt idx="69">
                  <c:v>40483</c:v>
                </c:pt>
                <c:pt idx="70">
                  <c:v>40452</c:v>
                </c:pt>
                <c:pt idx="71">
                  <c:v>40422</c:v>
                </c:pt>
                <c:pt idx="72">
                  <c:v>40392</c:v>
                </c:pt>
                <c:pt idx="73">
                  <c:v>40360</c:v>
                </c:pt>
                <c:pt idx="74">
                  <c:v>40330</c:v>
                </c:pt>
                <c:pt idx="75">
                  <c:v>40302</c:v>
                </c:pt>
                <c:pt idx="76">
                  <c:v>40269</c:v>
                </c:pt>
                <c:pt idx="77">
                  <c:v>40238</c:v>
                </c:pt>
                <c:pt idx="78">
                  <c:v>40210</c:v>
                </c:pt>
                <c:pt idx="79">
                  <c:v>40182</c:v>
                </c:pt>
                <c:pt idx="80">
                  <c:v>40148</c:v>
                </c:pt>
                <c:pt idx="81">
                  <c:v>40119</c:v>
                </c:pt>
                <c:pt idx="82">
                  <c:v>40087</c:v>
                </c:pt>
                <c:pt idx="83">
                  <c:v>40057</c:v>
                </c:pt>
                <c:pt idx="84">
                  <c:v>40028</c:v>
                </c:pt>
                <c:pt idx="85">
                  <c:v>39995</c:v>
                </c:pt>
                <c:pt idx="86">
                  <c:v>39965</c:v>
                </c:pt>
                <c:pt idx="87">
                  <c:v>39934</c:v>
                </c:pt>
                <c:pt idx="88">
                  <c:v>39904</c:v>
                </c:pt>
                <c:pt idx="89">
                  <c:v>39874</c:v>
                </c:pt>
                <c:pt idx="90">
                  <c:v>39846</c:v>
                </c:pt>
                <c:pt idx="91">
                  <c:v>39815</c:v>
                </c:pt>
                <c:pt idx="92">
                  <c:v>39783</c:v>
                </c:pt>
                <c:pt idx="93">
                  <c:v>39755</c:v>
                </c:pt>
                <c:pt idx="94">
                  <c:v>39722</c:v>
                </c:pt>
                <c:pt idx="95">
                  <c:v>39692</c:v>
                </c:pt>
                <c:pt idx="96">
                  <c:v>39661</c:v>
                </c:pt>
                <c:pt idx="97">
                  <c:v>39630</c:v>
                </c:pt>
                <c:pt idx="98">
                  <c:v>39601</c:v>
                </c:pt>
                <c:pt idx="99">
                  <c:v>39569</c:v>
                </c:pt>
                <c:pt idx="100">
                  <c:v>39539</c:v>
                </c:pt>
                <c:pt idx="101">
                  <c:v>39510</c:v>
                </c:pt>
                <c:pt idx="102">
                  <c:v>39479</c:v>
                </c:pt>
                <c:pt idx="103">
                  <c:v>39449</c:v>
                </c:pt>
                <c:pt idx="104">
                  <c:v>39419</c:v>
                </c:pt>
                <c:pt idx="105">
                  <c:v>39387</c:v>
                </c:pt>
                <c:pt idx="106">
                  <c:v>39356</c:v>
                </c:pt>
                <c:pt idx="107">
                  <c:v>39328</c:v>
                </c:pt>
                <c:pt idx="108">
                  <c:v>39295</c:v>
                </c:pt>
                <c:pt idx="109">
                  <c:v>39265</c:v>
                </c:pt>
                <c:pt idx="110">
                  <c:v>39234</c:v>
                </c:pt>
                <c:pt idx="111">
                  <c:v>39203</c:v>
                </c:pt>
                <c:pt idx="112">
                  <c:v>39174</c:v>
                </c:pt>
                <c:pt idx="113">
                  <c:v>39142</c:v>
                </c:pt>
                <c:pt idx="114">
                  <c:v>39114</c:v>
                </c:pt>
                <c:pt idx="115">
                  <c:v>39084</c:v>
                </c:pt>
                <c:pt idx="116">
                  <c:v>39052</c:v>
                </c:pt>
                <c:pt idx="117">
                  <c:v>39022</c:v>
                </c:pt>
                <c:pt idx="118">
                  <c:v>38992</c:v>
                </c:pt>
                <c:pt idx="119">
                  <c:v>38961</c:v>
                </c:pt>
                <c:pt idx="120">
                  <c:v>38930</c:v>
                </c:pt>
                <c:pt idx="121">
                  <c:v>38901</c:v>
                </c:pt>
                <c:pt idx="122">
                  <c:v>38869</c:v>
                </c:pt>
                <c:pt idx="123">
                  <c:v>38839</c:v>
                </c:pt>
                <c:pt idx="124">
                  <c:v>38810</c:v>
                </c:pt>
                <c:pt idx="125">
                  <c:v>38777</c:v>
                </c:pt>
                <c:pt idx="126">
                  <c:v>38749</c:v>
                </c:pt>
                <c:pt idx="127">
                  <c:v>38720</c:v>
                </c:pt>
                <c:pt idx="128">
                  <c:v>38687</c:v>
                </c:pt>
                <c:pt idx="129">
                  <c:v>38657</c:v>
                </c:pt>
                <c:pt idx="130">
                  <c:v>38628</c:v>
                </c:pt>
                <c:pt idx="131">
                  <c:v>38596</c:v>
                </c:pt>
                <c:pt idx="132">
                  <c:v>38565</c:v>
                </c:pt>
                <c:pt idx="133">
                  <c:v>38534</c:v>
                </c:pt>
                <c:pt idx="134">
                  <c:v>38504</c:v>
                </c:pt>
                <c:pt idx="135">
                  <c:v>38475</c:v>
                </c:pt>
                <c:pt idx="136">
                  <c:v>38443</c:v>
                </c:pt>
                <c:pt idx="137">
                  <c:v>38412</c:v>
                </c:pt>
                <c:pt idx="138">
                  <c:v>38384</c:v>
                </c:pt>
                <c:pt idx="139">
                  <c:v>38356</c:v>
                </c:pt>
                <c:pt idx="140">
                  <c:v>38322</c:v>
                </c:pt>
                <c:pt idx="141">
                  <c:v>38292</c:v>
                </c:pt>
                <c:pt idx="142">
                  <c:v>38261</c:v>
                </c:pt>
                <c:pt idx="143">
                  <c:v>38231</c:v>
                </c:pt>
                <c:pt idx="144">
                  <c:v>38201</c:v>
                </c:pt>
                <c:pt idx="145">
                  <c:v>38169</c:v>
                </c:pt>
                <c:pt idx="146">
                  <c:v>38139</c:v>
                </c:pt>
                <c:pt idx="147">
                  <c:v>38111</c:v>
                </c:pt>
                <c:pt idx="148">
                  <c:v>38078</c:v>
                </c:pt>
                <c:pt idx="149">
                  <c:v>38047</c:v>
                </c:pt>
                <c:pt idx="150">
                  <c:v>38019</c:v>
                </c:pt>
                <c:pt idx="151">
                  <c:v>37988</c:v>
                </c:pt>
                <c:pt idx="152">
                  <c:v>37956</c:v>
                </c:pt>
                <c:pt idx="153">
                  <c:v>37928</c:v>
                </c:pt>
                <c:pt idx="154">
                  <c:v>37895</c:v>
                </c:pt>
                <c:pt idx="155">
                  <c:v>37865</c:v>
                </c:pt>
                <c:pt idx="156">
                  <c:v>37834</c:v>
                </c:pt>
                <c:pt idx="157">
                  <c:v>37803</c:v>
                </c:pt>
                <c:pt idx="158">
                  <c:v>37774</c:v>
                </c:pt>
                <c:pt idx="159">
                  <c:v>37742</c:v>
                </c:pt>
                <c:pt idx="160">
                  <c:v>37712</c:v>
                </c:pt>
                <c:pt idx="161">
                  <c:v>37683</c:v>
                </c:pt>
                <c:pt idx="162">
                  <c:v>37655</c:v>
                </c:pt>
                <c:pt idx="163">
                  <c:v>37623</c:v>
                </c:pt>
                <c:pt idx="164">
                  <c:v>37592</c:v>
                </c:pt>
                <c:pt idx="165">
                  <c:v>37561</c:v>
                </c:pt>
                <c:pt idx="166">
                  <c:v>37530</c:v>
                </c:pt>
                <c:pt idx="167">
                  <c:v>37501</c:v>
                </c:pt>
                <c:pt idx="168">
                  <c:v>37469</c:v>
                </c:pt>
                <c:pt idx="169">
                  <c:v>37438</c:v>
                </c:pt>
                <c:pt idx="170">
                  <c:v>37412</c:v>
                </c:pt>
                <c:pt idx="171">
                  <c:v>37377</c:v>
                </c:pt>
                <c:pt idx="172">
                  <c:v>37348</c:v>
                </c:pt>
                <c:pt idx="173">
                  <c:v>37316</c:v>
                </c:pt>
                <c:pt idx="174">
                  <c:v>37288</c:v>
                </c:pt>
                <c:pt idx="175">
                  <c:v>37258</c:v>
                </c:pt>
                <c:pt idx="176">
                  <c:v>37228</c:v>
                </c:pt>
                <c:pt idx="177">
                  <c:v>37196</c:v>
                </c:pt>
                <c:pt idx="178">
                  <c:v>37165</c:v>
                </c:pt>
                <c:pt idx="179">
                  <c:v>37137</c:v>
                </c:pt>
                <c:pt idx="180">
                  <c:v>37104</c:v>
                </c:pt>
                <c:pt idx="181">
                  <c:v>37074</c:v>
                </c:pt>
                <c:pt idx="182">
                  <c:v>37043</c:v>
                </c:pt>
                <c:pt idx="183">
                  <c:v>37012</c:v>
                </c:pt>
                <c:pt idx="184">
                  <c:v>36983</c:v>
                </c:pt>
                <c:pt idx="185">
                  <c:v>36951</c:v>
                </c:pt>
                <c:pt idx="186">
                  <c:v>36923</c:v>
                </c:pt>
                <c:pt idx="187">
                  <c:v>36893</c:v>
                </c:pt>
                <c:pt idx="188">
                  <c:v>36861</c:v>
                </c:pt>
                <c:pt idx="189">
                  <c:v>36831</c:v>
                </c:pt>
                <c:pt idx="190">
                  <c:v>36801</c:v>
                </c:pt>
                <c:pt idx="191">
                  <c:v>36770</c:v>
                </c:pt>
                <c:pt idx="192">
                  <c:v>36739</c:v>
                </c:pt>
                <c:pt idx="193">
                  <c:v>36710</c:v>
                </c:pt>
                <c:pt idx="194">
                  <c:v>36678</c:v>
                </c:pt>
                <c:pt idx="195">
                  <c:v>36648</c:v>
                </c:pt>
                <c:pt idx="196">
                  <c:v>36619</c:v>
                </c:pt>
                <c:pt idx="197">
                  <c:v>36586</c:v>
                </c:pt>
                <c:pt idx="198">
                  <c:v>36557</c:v>
                </c:pt>
                <c:pt idx="199">
                  <c:v>36529</c:v>
                </c:pt>
                <c:pt idx="200">
                  <c:v>36495</c:v>
                </c:pt>
                <c:pt idx="201">
                  <c:v>36465</c:v>
                </c:pt>
                <c:pt idx="202">
                  <c:v>36434</c:v>
                </c:pt>
                <c:pt idx="203">
                  <c:v>36404</c:v>
                </c:pt>
                <c:pt idx="204">
                  <c:v>36374</c:v>
                </c:pt>
                <c:pt idx="205">
                  <c:v>36342</c:v>
                </c:pt>
                <c:pt idx="206">
                  <c:v>36312</c:v>
                </c:pt>
                <c:pt idx="207">
                  <c:v>36284</c:v>
                </c:pt>
                <c:pt idx="208">
                  <c:v>36251</c:v>
                </c:pt>
                <c:pt idx="209">
                  <c:v>36220</c:v>
                </c:pt>
                <c:pt idx="210">
                  <c:v>36192</c:v>
                </c:pt>
                <c:pt idx="211">
                  <c:v>36161</c:v>
                </c:pt>
                <c:pt idx="212">
                  <c:v>36130</c:v>
                </c:pt>
                <c:pt idx="213">
                  <c:v>36101</c:v>
                </c:pt>
                <c:pt idx="214">
                  <c:v>36069</c:v>
                </c:pt>
                <c:pt idx="215">
                  <c:v>36039</c:v>
                </c:pt>
                <c:pt idx="216">
                  <c:v>36010</c:v>
                </c:pt>
                <c:pt idx="217">
                  <c:v>35977</c:v>
                </c:pt>
                <c:pt idx="218">
                  <c:v>35947</c:v>
                </c:pt>
                <c:pt idx="219">
                  <c:v>35916</c:v>
                </c:pt>
                <c:pt idx="220">
                  <c:v>35886</c:v>
                </c:pt>
                <c:pt idx="221">
                  <c:v>35856</c:v>
                </c:pt>
                <c:pt idx="222">
                  <c:v>35828</c:v>
                </c:pt>
                <c:pt idx="223">
                  <c:v>35796</c:v>
                </c:pt>
                <c:pt idx="224">
                  <c:v>35765</c:v>
                </c:pt>
                <c:pt idx="225">
                  <c:v>35737</c:v>
                </c:pt>
                <c:pt idx="226">
                  <c:v>35704</c:v>
                </c:pt>
                <c:pt idx="227">
                  <c:v>35674</c:v>
                </c:pt>
                <c:pt idx="228">
                  <c:v>35643</c:v>
                </c:pt>
                <c:pt idx="229">
                  <c:v>35612</c:v>
                </c:pt>
                <c:pt idx="230">
                  <c:v>35583</c:v>
                </c:pt>
                <c:pt idx="231">
                  <c:v>35551</c:v>
                </c:pt>
                <c:pt idx="232">
                  <c:v>35521</c:v>
                </c:pt>
                <c:pt idx="233">
                  <c:v>35492</c:v>
                </c:pt>
                <c:pt idx="234">
                  <c:v>35464</c:v>
                </c:pt>
                <c:pt idx="235">
                  <c:v>35431</c:v>
                </c:pt>
                <c:pt idx="236">
                  <c:v>35401</c:v>
                </c:pt>
                <c:pt idx="237">
                  <c:v>35370</c:v>
                </c:pt>
                <c:pt idx="238">
                  <c:v>35339</c:v>
                </c:pt>
                <c:pt idx="239">
                  <c:v>35310</c:v>
                </c:pt>
                <c:pt idx="240">
                  <c:v>35278</c:v>
                </c:pt>
                <c:pt idx="241">
                  <c:v>35247</c:v>
                </c:pt>
                <c:pt idx="242">
                  <c:v>35219</c:v>
                </c:pt>
                <c:pt idx="243">
                  <c:v>35186</c:v>
                </c:pt>
                <c:pt idx="244">
                  <c:v>35156</c:v>
                </c:pt>
                <c:pt idx="245">
                  <c:v>35125</c:v>
                </c:pt>
                <c:pt idx="246">
                  <c:v>35096</c:v>
                </c:pt>
                <c:pt idx="247">
                  <c:v>35065</c:v>
                </c:pt>
                <c:pt idx="248">
                  <c:v>35034</c:v>
                </c:pt>
                <c:pt idx="249">
                  <c:v>35004</c:v>
                </c:pt>
                <c:pt idx="250">
                  <c:v>34974</c:v>
                </c:pt>
                <c:pt idx="251">
                  <c:v>34943</c:v>
                </c:pt>
                <c:pt idx="252">
                  <c:v>34912</c:v>
                </c:pt>
                <c:pt idx="253">
                  <c:v>34883</c:v>
                </c:pt>
                <c:pt idx="254">
                  <c:v>34851</c:v>
                </c:pt>
                <c:pt idx="255">
                  <c:v>34820</c:v>
                </c:pt>
                <c:pt idx="256">
                  <c:v>34792</c:v>
                </c:pt>
                <c:pt idx="257">
                  <c:v>34759</c:v>
                </c:pt>
                <c:pt idx="258">
                  <c:v>34731</c:v>
                </c:pt>
                <c:pt idx="259">
                  <c:v>34701</c:v>
                </c:pt>
                <c:pt idx="260">
                  <c:v>34669</c:v>
                </c:pt>
                <c:pt idx="261">
                  <c:v>34639</c:v>
                </c:pt>
                <c:pt idx="262">
                  <c:v>34610</c:v>
                </c:pt>
                <c:pt idx="263">
                  <c:v>34578</c:v>
                </c:pt>
                <c:pt idx="264">
                  <c:v>34547</c:v>
                </c:pt>
                <c:pt idx="265">
                  <c:v>34516</c:v>
                </c:pt>
                <c:pt idx="266">
                  <c:v>34486</c:v>
                </c:pt>
                <c:pt idx="267">
                  <c:v>34456</c:v>
                </c:pt>
                <c:pt idx="268">
                  <c:v>34425</c:v>
                </c:pt>
                <c:pt idx="269">
                  <c:v>34394</c:v>
                </c:pt>
                <c:pt idx="270">
                  <c:v>34366</c:v>
                </c:pt>
                <c:pt idx="271">
                  <c:v>34337</c:v>
                </c:pt>
                <c:pt idx="272">
                  <c:v>34304</c:v>
                </c:pt>
                <c:pt idx="273">
                  <c:v>34274</c:v>
                </c:pt>
                <c:pt idx="274">
                  <c:v>34243</c:v>
                </c:pt>
                <c:pt idx="275">
                  <c:v>34213</c:v>
                </c:pt>
                <c:pt idx="276">
                  <c:v>34183</c:v>
                </c:pt>
                <c:pt idx="277">
                  <c:v>34151</c:v>
                </c:pt>
                <c:pt idx="278">
                  <c:v>34121</c:v>
                </c:pt>
                <c:pt idx="279">
                  <c:v>34092</c:v>
                </c:pt>
                <c:pt idx="280">
                  <c:v>34060</c:v>
                </c:pt>
                <c:pt idx="281">
                  <c:v>34029</c:v>
                </c:pt>
                <c:pt idx="282">
                  <c:v>34001</c:v>
                </c:pt>
                <c:pt idx="283">
                  <c:v>33970</c:v>
                </c:pt>
                <c:pt idx="284">
                  <c:v>33939</c:v>
                </c:pt>
                <c:pt idx="285">
                  <c:v>33910</c:v>
                </c:pt>
                <c:pt idx="286">
                  <c:v>33878</c:v>
                </c:pt>
                <c:pt idx="287">
                  <c:v>33848</c:v>
                </c:pt>
                <c:pt idx="288">
                  <c:v>33819</c:v>
                </c:pt>
                <c:pt idx="289">
                  <c:v>33786</c:v>
                </c:pt>
                <c:pt idx="290">
                  <c:v>33756</c:v>
                </c:pt>
                <c:pt idx="291">
                  <c:v>33725</c:v>
                </c:pt>
                <c:pt idx="292">
                  <c:v>33695</c:v>
                </c:pt>
                <c:pt idx="293">
                  <c:v>33665</c:v>
                </c:pt>
                <c:pt idx="294">
                  <c:v>33637</c:v>
                </c:pt>
                <c:pt idx="295">
                  <c:v>33604</c:v>
                </c:pt>
                <c:pt idx="296">
                  <c:v>33574</c:v>
                </c:pt>
                <c:pt idx="297">
                  <c:v>33543</c:v>
                </c:pt>
                <c:pt idx="298">
                  <c:v>33512</c:v>
                </c:pt>
                <c:pt idx="299">
                  <c:v>33483</c:v>
                </c:pt>
                <c:pt idx="300">
                  <c:v>33451</c:v>
                </c:pt>
                <c:pt idx="301">
                  <c:v>33420</c:v>
                </c:pt>
                <c:pt idx="302">
                  <c:v>33392</c:v>
                </c:pt>
                <c:pt idx="303">
                  <c:v>33359</c:v>
                </c:pt>
                <c:pt idx="304">
                  <c:v>33329</c:v>
                </c:pt>
                <c:pt idx="305">
                  <c:v>33298</c:v>
                </c:pt>
                <c:pt idx="306">
                  <c:v>33270</c:v>
                </c:pt>
                <c:pt idx="307">
                  <c:v>33239</c:v>
                </c:pt>
                <c:pt idx="308">
                  <c:v>33210</c:v>
                </c:pt>
                <c:pt idx="309">
                  <c:v>33178</c:v>
                </c:pt>
                <c:pt idx="310">
                  <c:v>33147</c:v>
                </c:pt>
                <c:pt idx="311">
                  <c:v>33119</c:v>
                </c:pt>
                <c:pt idx="312">
                  <c:v>33086</c:v>
                </c:pt>
                <c:pt idx="313">
                  <c:v>33056</c:v>
                </c:pt>
                <c:pt idx="314">
                  <c:v>33025</c:v>
                </c:pt>
                <c:pt idx="315">
                  <c:v>32994</c:v>
                </c:pt>
                <c:pt idx="316">
                  <c:v>32965</c:v>
                </c:pt>
                <c:pt idx="317">
                  <c:v>32933</c:v>
                </c:pt>
                <c:pt idx="318">
                  <c:v>32905</c:v>
                </c:pt>
                <c:pt idx="319">
                  <c:v>32874</c:v>
                </c:pt>
                <c:pt idx="320">
                  <c:v>32843</c:v>
                </c:pt>
                <c:pt idx="321">
                  <c:v>32813</c:v>
                </c:pt>
                <c:pt idx="322">
                  <c:v>32783</c:v>
                </c:pt>
                <c:pt idx="323">
                  <c:v>32752</c:v>
                </c:pt>
                <c:pt idx="324">
                  <c:v>32721</c:v>
                </c:pt>
                <c:pt idx="325">
                  <c:v>32692</c:v>
                </c:pt>
                <c:pt idx="326">
                  <c:v>32660</c:v>
                </c:pt>
                <c:pt idx="327">
                  <c:v>32629</c:v>
                </c:pt>
                <c:pt idx="328">
                  <c:v>32601</c:v>
                </c:pt>
                <c:pt idx="329">
                  <c:v>32568</c:v>
                </c:pt>
                <c:pt idx="330">
                  <c:v>32540</c:v>
                </c:pt>
                <c:pt idx="331">
                  <c:v>32510</c:v>
                </c:pt>
                <c:pt idx="332">
                  <c:v>32478</c:v>
                </c:pt>
                <c:pt idx="333">
                  <c:v>32448</c:v>
                </c:pt>
                <c:pt idx="334">
                  <c:v>32419</c:v>
                </c:pt>
                <c:pt idx="335">
                  <c:v>32387</c:v>
                </c:pt>
                <c:pt idx="336">
                  <c:v>32356</c:v>
                </c:pt>
                <c:pt idx="337">
                  <c:v>32325</c:v>
                </c:pt>
                <c:pt idx="338">
                  <c:v>32295</c:v>
                </c:pt>
                <c:pt idx="339">
                  <c:v>32265</c:v>
                </c:pt>
                <c:pt idx="340">
                  <c:v>32234</c:v>
                </c:pt>
                <c:pt idx="341">
                  <c:v>32203</c:v>
                </c:pt>
                <c:pt idx="342">
                  <c:v>32174</c:v>
                </c:pt>
                <c:pt idx="343">
                  <c:v>32143</c:v>
                </c:pt>
                <c:pt idx="344">
                  <c:v>32112</c:v>
                </c:pt>
                <c:pt idx="345">
                  <c:v>32083</c:v>
                </c:pt>
                <c:pt idx="346">
                  <c:v>32051</c:v>
                </c:pt>
                <c:pt idx="347">
                  <c:v>32021</c:v>
                </c:pt>
                <c:pt idx="348">
                  <c:v>31992</c:v>
                </c:pt>
                <c:pt idx="349">
                  <c:v>31959</c:v>
                </c:pt>
                <c:pt idx="350">
                  <c:v>31929</c:v>
                </c:pt>
                <c:pt idx="351">
                  <c:v>31898</c:v>
                </c:pt>
                <c:pt idx="352">
                  <c:v>31868</c:v>
                </c:pt>
                <c:pt idx="353">
                  <c:v>31838</c:v>
                </c:pt>
                <c:pt idx="354">
                  <c:v>31810</c:v>
                </c:pt>
                <c:pt idx="355">
                  <c:v>31778</c:v>
                </c:pt>
                <c:pt idx="356">
                  <c:v>31747</c:v>
                </c:pt>
                <c:pt idx="357">
                  <c:v>31719</c:v>
                </c:pt>
                <c:pt idx="358">
                  <c:v>31686</c:v>
                </c:pt>
                <c:pt idx="359">
                  <c:v>31656</c:v>
                </c:pt>
                <c:pt idx="360">
                  <c:v>31625</c:v>
                </c:pt>
                <c:pt idx="361">
                  <c:v>31594</c:v>
                </c:pt>
                <c:pt idx="362">
                  <c:v>31565</c:v>
                </c:pt>
                <c:pt idx="363">
                  <c:v>31533</c:v>
                </c:pt>
                <c:pt idx="364">
                  <c:v>31503</c:v>
                </c:pt>
                <c:pt idx="365">
                  <c:v>31474</c:v>
                </c:pt>
                <c:pt idx="366">
                  <c:v>31446</c:v>
                </c:pt>
                <c:pt idx="367">
                  <c:v>31413</c:v>
                </c:pt>
              </c:numCache>
            </c:numRef>
          </c:cat>
          <c:val>
            <c:numRef>
              <c:f>'Raw Data'!$F$7:$F$374</c:f>
              <c:numCache>
                <c:formatCode>0.00%</c:formatCode>
                <c:ptCount val="368"/>
                <c:pt idx="0">
                  <c:v>1.6827585946139311E-3</c:v>
                </c:pt>
                <c:pt idx="1">
                  <c:v>1.6827585946139311E-3</c:v>
                </c:pt>
                <c:pt idx="2">
                  <c:v>1.6827585946139311E-3</c:v>
                </c:pt>
                <c:pt idx="3">
                  <c:v>1.6827585946139311E-3</c:v>
                </c:pt>
                <c:pt idx="4">
                  <c:v>1.6827585946139311E-3</c:v>
                </c:pt>
                <c:pt idx="5">
                  <c:v>1.6827585946139311E-3</c:v>
                </c:pt>
                <c:pt idx="6">
                  <c:v>1.6827585946139311E-3</c:v>
                </c:pt>
                <c:pt idx="7">
                  <c:v>1.6827585946139311E-3</c:v>
                </c:pt>
                <c:pt idx="8">
                  <c:v>1.6827585946139311E-3</c:v>
                </c:pt>
                <c:pt idx="9">
                  <c:v>1.6827585946139311E-3</c:v>
                </c:pt>
                <c:pt idx="10">
                  <c:v>1.6827585946139311E-3</c:v>
                </c:pt>
                <c:pt idx="11">
                  <c:v>1.6827585946139311E-3</c:v>
                </c:pt>
                <c:pt idx="12">
                  <c:v>1.6827585946139311E-3</c:v>
                </c:pt>
                <c:pt idx="13">
                  <c:v>1.6827585946139311E-3</c:v>
                </c:pt>
                <c:pt idx="14">
                  <c:v>1.6827585946139311E-3</c:v>
                </c:pt>
                <c:pt idx="15">
                  <c:v>1.6827585946139311E-3</c:v>
                </c:pt>
                <c:pt idx="16">
                  <c:v>1.6827585946139311E-3</c:v>
                </c:pt>
                <c:pt idx="17">
                  <c:v>1.6827585946139311E-3</c:v>
                </c:pt>
                <c:pt idx="18">
                  <c:v>1.6827585946139311E-3</c:v>
                </c:pt>
                <c:pt idx="19">
                  <c:v>1.6827585946139311E-3</c:v>
                </c:pt>
                <c:pt idx="20">
                  <c:v>1.6827585946139311E-3</c:v>
                </c:pt>
                <c:pt idx="21">
                  <c:v>1.6827585946139311E-3</c:v>
                </c:pt>
                <c:pt idx="22">
                  <c:v>1.6827585946139311E-3</c:v>
                </c:pt>
                <c:pt idx="23">
                  <c:v>1.6827585946139311E-3</c:v>
                </c:pt>
                <c:pt idx="24">
                  <c:v>1.6827585946139311E-3</c:v>
                </c:pt>
                <c:pt idx="25">
                  <c:v>1.6827585946139311E-3</c:v>
                </c:pt>
                <c:pt idx="26">
                  <c:v>1.6827585946139311E-3</c:v>
                </c:pt>
                <c:pt idx="27">
                  <c:v>1.6827585946139311E-3</c:v>
                </c:pt>
                <c:pt idx="28">
                  <c:v>1.6827585946139311E-3</c:v>
                </c:pt>
                <c:pt idx="29">
                  <c:v>1.6827585946139311E-3</c:v>
                </c:pt>
                <c:pt idx="30">
                  <c:v>1.6827585946139311E-3</c:v>
                </c:pt>
                <c:pt idx="31">
                  <c:v>1.6827585946139311E-3</c:v>
                </c:pt>
                <c:pt idx="32">
                  <c:v>1.6827585946139311E-3</c:v>
                </c:pt>
                <c:pt idx="33">
                  <c:v>1.6827585946139311E-3</c:v>
                </c:pt>
                <c:pt idx="34">
                  <c:v>1.6827585946139311E-3</c:v>
                </c:pt>
                <c:pt idx="35">
                  <c:v>1.6827585946139311E-3</c:v>
                </c:pt>
                <c:pt idx="36">
                  <c:v>1.6827585946139311E-3</c:v>
                </c:pt>
                <c:pt idx="37">
                  <c:v>1.6827585946139311E-3</c:v>
                </c:pt>
                <c:pt idx="38">
                  <c:v>1.6827585946139311E-3</c:v>
                </c:pt>
                <c:pt idx="39">
                  <c:v>1.6827585946139311E-3</c:v>
                </c:pt>
                <c:pt idx="40">
                  <c:v>1.6827585946139311E-3</c:v>
                </c:pt>
                <c:pt idx="41">
                  <c:v>1.6827585946139311E-3</c:v>
                </c:pt>
                <c:pt idx="42">
                  <c:v>1.6827585946139311E-3</c:v>
                </c:pt>
                <c:pt idx="43">
                  <c:v>1.6827585946139311E-3</c:v>
                </c:pt>
                <c:pt idx="44">
                  <c:v>1.6827585946139311E-3</c:v>
                </c:pt>
                <c:pt idx="45">
                  <c:v>1.6827585946139311E-3</c:v>
                </c:pt>
                <c:pt idx="46">
                  <c:v>1.6827585946139311E-3</c:v>
                </c:pt>
                <c:pt idx="47">
                  <c:v>1.6827585946139311E-3</c:v>
                </c:pt>
                <c:pt idx="48">
                  <c:v>1.6827585946139311E-3</c:v>
                </c:pt>
                <c:pt idx="49">
                  <c:v>1.6827585946139311E-3</c:v>
                </c:pt>
                <c:pt idx="50">
                  <c:v>1.6827585946139311E-3</c:v>
                </c:pt>
                <c:pt idx="51">
                  <c:v>1.6827585946139311E-3</c:v>
                </c:pt>
                <c:pt idx="52">
                  <c:v>1.6827585946139311E-3</c:v>
                </c:pt>
                <c:pt idx="53">
                  <c:v>1.6827585946139311E-3</c:v>
                </c:pt>
                <c:pt idx="54">
                  <c:v>1.6827585946139311E-3</c:v>
                </c:pt>
                <c:pt idx="55">
                  <c:v>1.6827585946139311E-3</c:v>
                </c:pt>
                <c:pt idx="56">
                  <c:v>1.6827585946139311E-3</c:v>
                </c:pt>
                <c:pt idx="57">
                  <c:v>1.6827585946139311E-3</c:v>
                </c:pt>
                <c:pt idx="58">
                  <c:v>1.6827585946139311E-3</c:v>
                </c:pt>
                <c:pt idx="59">
                  <c:v>1.6827585946139311E-3</c:v>
                </c:pt>
                <c:pt idx="60">
                  <c:v>1.6827585946139311E-3</c:v>
                </c:pt>
                <c:pt idx="61">
                  <c:v>1.6827585946139311E-3</c:v>
                </c:pt>
                <c:pt idx="62">
                  <c:v>1.6827585946139311E-3</c:v>
                </c:pt>
                <c:pt idx="63">
                  <c:v>1.6827585946139311E-3</c:v>
                </c:pt>
                <c:pt idx="64">
                  <c:v>1.6827585946139311E-3</c:v>
                </c:pt>
                <c:pt idx="65">
                  <c:v>1.6827585946139311E-3</c:v>
                </c:pt>
                <c:pt idx="66">
                  <c:v>1.6827585946139311E-3</c:v>
                </c:pt>
                <c:pt idx="67">
                  <c:v>1.6827585946139311E-3</c:v>
                </c:pt>
                <c:pt idx="68">
                  <c:v>1.6827585946139311E-3</c:v>
                </c:pt>
                <c:pt idx="69">
                  <c:v>1.6827585946139311E-3</c:v>
                </c:pt>
                <c:pt idx="70">
                  <c:v>1.6827585946139311E-3</c:v>
                </c:pt>
                <c:pt idx="71">
                  <c:v>1.6827585946139311E-3</c:v>
                </c:pt>
                <c:pt idx="72">
                  <c:v>1.6827585946139311E-3</c:v>
                </c:pt>
                <c:pt idx="73">
                  <c:v>1.6827585946139311E-3</c:v>
                </c:pt>
                <c:pt idx="74">
                  <c:v>1.6827585946139311E-3</c:v>
                </c:pt>
                <c:pt idx="75">
                  <c:v>1.6827585946139311E-3</c:v>
                </c:pt>
                <c:pt idx="76">
                  <c:v>1.6827585946139311E-3</c:v>
                </c:pt>
                <c:pt idx="77">
                  <c:v>1.6827585946139311E-3</c:v>
                </c:pt>
                <c:pt idx="78">
                  <c:v>1.6827585946139311E-3</c:v>
                </c:pt>
                <c:pt idx="79">
                  <c:v>1.6827585946139311E-3</c:v>
                </c:pt>
                <c:pt idx="80">
                  <c:v>1.6827585946139311E-3</c:v>
                </c:pt>
                <c:pt idx="81">
                  <c:v>1.6827585946139311E-3</c:v>
                </c:pt>
                <c:pt idx="82">
                  <c:v>1.6827585946139311E-3</c:v>
                </c:pt>
                <c:pt idx="83">
                  <c:v>1.6827585946139311E-3</c:v>
                </c:pt>
                <c:pt idx="84">
                  <c:v>1.6827585946139311E-3</c:v>
                </c:pt>
                <c:pt idx="85">
                  <c:v>1.6827585946139311E-3</c:v>
                </c:pt>
                <c:pt idx="86">
                  <c:v>1.6827585946139311E-3</c:v>
                </c:pt>
                <c:pt idx="87">
                  <c:v>1.6827585946139311E-3</c:v>
                </c:pt>
                <c:pt idx="88">
                  <c:v>1.6827585946139311E-3</c:v>
                </c:pt>
                <c:pt idx="89">
                  <c:v>1.6827585946139311E-3</c:v>
                </c:pt>
                <c:pt idx="90">
                  <c:v>1.6827585946139311E-3</c:v>
                </c:pt>
                <c:pt idx="91">
                  <c:v>1.6827585946139311E-3</c:v>
                </c:pt>
                <c:pt idx="92">
                  <c:v>1.6827585946139311E-3</c:v>
                </c:pt>
                <c:pt idx="93">
                  <c:v>1.6827585946139311E-3</c:v>
                </c:pt>
                <c:pt idx="94">
                  <c:v>1.6827585946139311E-3</c:v>
                </c:pt>
                <c:pt idx="95">
                  <c:v>1.6827585946139311E-3</c:v>
                </c:pt>
                <c:pt idx="96">
                  <c:v>1.6827585946139311E-3</c:v>
                </c:pt>
                <c:pt idx="97">
                  <c:v>1.6827585946139311E-3</c:v>
                </c:pt>
                <c:pt idx="98">
                  <c:v>1.6827585946139311E-3</c:v>
                </c:pt>
                <c:pt idx="99">
                  <c:v>1.6827585946139311E-3</c:v>
                </c:pt>
                <c:pt idx="100">
                  <c:v>1.6827585946139311E-3</c:v>
                </c:pt>
                <c:pt idx="101">
                  <c:v>1.6827585946139311E-3</c:v>
                </c:pt>
                <c:pt idx="102">
                  <c:v>1.6827585946139311E-3</c:v>
                </c:pt>
                <c:pt idx="103">
                  <c:v>1.6827585946139311E-3</c:v>
                </c:pt>
                <c:pt idx="104">
                  <c:v>1.6827585946139311E-3</c:v>
                </c:pt>
                <c:pt idx="105">
                  <c:v>1.6827585946139311E-3</c:v>
                </c:pt>
                <c:pt idx="106">
                  <c:v>1.6827585946139311E-3</c:v>
                </c:pt>
                <c:pt idx="107">
                  <c:v>1.6827585946139311E-3</c:v>
                </c:pt>
                <c:pt idx="108">
                  <c:v>1.6827585946139311E-3</c:v>
                </c:pt>
                <c:pt idx="109">
                  <c:v>1.6827585946139311E-3</c:v>
                </c:pt>
                <c:pt idx="110">
                  <c:v>1.6827585946139311E-3</c:v>
                </c:pt>
                <c:pt idx="111">
                  <c:v>1.6827585946139311E-3</c:v>
                </c:pt>
                <c:pt idx="112">
                  <c:v>1.6827585946139311E-3</c:v>
                </c:pt>
                <c:pt idx="113">
                  <c:v>1.6827585946139311E-3</c:v>
                </c:pt>
                <c:pt idx="114">
                  <c:v>1.6827585946139311E-3</c:v>
                </c:pt>
                <c:pt idx="115">
                  <c:v>1.6827585946139311E-3</c:v>
                </c:pt>
                <c:pt idx="116">
                  <c:v>1.6827585946139311E-3</c:v>
                </c:pt>
                <c:pt idx="117">
                  <c:v>1.6827585946139311E-3</c:v>
                </c:pt>
                <c:pt idx="118">
                  <c:v>1.6827585946139311E-3</c:v>
                </c:pt>
                <c:pt idx="119">
                  <c:v>1.6827585946139311E-3</c:v>
                </c:pt>
                <c:pt idx="120">
                  <c:v>1.6827585946139311E-3</c:v>
                </c:pt>
                <c:pt idx="121">
                  <c:v>1.6827585946139311E-3</c:v>
                </c:pt>
                <c:pt idx="122">
                  <c:v>1.6827585946139311E-3</c:v>
                </c:pt>
                <c:pt idx="123">
                  <c:v>1.6827585946139311E-3</c:v>
                </c:pt>
                <c:pt idx="124">
                  <c:v>1.6827585946139311E-3</c:v>
                </c:pt>
                <c:pt idx="125">
                  <c:v>1.6827585946139311E-3</c:v>
                </c:pt>
                <c:pt idx="126">
                  <c:v>1.6827585946139311E-3</c:v>
                </c:pt>
                <c:pt idx="127">
                  <c:v>1.6827585946139311E-3</c:v>
                </c:pt>
                <c:pt idx="128">
                  <c:v>1.6827585946139311E-3</c:v>
                </c:pt>
                <c:pt idx="129">
                  <c:v>1.6827585946139311E-3</c:v>
                </c:pt>
                <c:pt idx="130">
                  <c:v>1.6827585946139311E-3</c:v>
                </c:pt>
                <c:pt idx="131">
                  <c:v>1.6827585946139311E-3</c:v>
                </c:pt>
                <c:pt idx="132">
                  <c:v>1.6827585946139311E-3</c:v>
                </c:pt>
                <c:pt idx="133">
                  <c:v>1.6827585946139311E-3</c:v>
                </c:pt>
                <c:pt idx="134">
                  <c:v>1.6827585946139311E-3</c:v>
                </c:pt>
                <c:pt idx="135">
                  <c:v>1.6827585946139311E-3</c:v>
                </c:pt>
                <c:pt idx="136">
                  <c:v>1.6827585946139311E-3</c:v>
                </c:pt>
                <c:pt idx="137">
                  <c:v>1.6827585946139311E-3</c:v>
                </c:pt>
                <c:pt idx="138">
                  <c:v>1.6827585946139311E-3</c:v>
                </c:pt>
                <c:pt idx="139">
                  <c:v>1.6827585946139311E-3</c:v>
                </c:pt>
                <c:pt idx="140">
                  <c:v>1.6827585946139311E-3</c:v>
                </c:pt>
                <c:pt idx="141">
                  <c:v>1.6827585946139311E-3</c:v>
                </c:pt>
                <c:pt idx="142">
                  <c:v>1.6827585946139311E-3</c:v>
                </c:pt>
                <c:pt idx="143">
                  <c:v>1.6827585946139311E-3</c:v>
                </c:pt>
                <c:pt idx="144">
                  <c:v>1.6827585946139311E-3</c:v>
                </c:pt>
                <c:pt idx="145">
                  <c:v>1.6827585946139311E-3</c:v>
                </c:pt>
                <c:pt idx="146">
                  <c:v>1.6827585946139311E-3</c:v>
                </c:pt>
                <c:pt idx="147">
                  <c:v>1.6827585946139311E-3</c:v>
                </c:pt>
                <c:pt idx="148">
                  <c:v>1.6827585946139311E-3</c:v>
                </c:pt>
                <c:pt idx="149">
                  <c:v>1.6827585946139311E-3</c:v>
                </c:pt>
                <c:pt idx="150">
                  <c:v>1.6827585946139311E-3</c:v>
                </c:pt>
                <c:pt idx="151">
                  <c:v>1.6827585946139311E-3</c:v>
                </c:pt>
                <c:pt idx="152">
                  <c:v>1.6827585946139311E-3</c:v>
                </c:pt>
                <c:pt idx="153">
                  <c:v>1.6827585946139311E-3</c:v>
                </c:pt>
                <c:pt idx="154">
                  <c:v>1.6827585946139311E-3</c:v>
                </c:pt>
                <c:pt idx="155">
                  <c:v>1.6827585946139311E-3</c:v>
                </c:pt>
                <c:pt idx="156">
                  <c:v>1.6827585946139311E-3</c:v>
                </c:pt>
                <c:pt idx="157">
                  <c:v>1.6827585946139311E-3</c:v>
                </c:pt>
                <c:pt idx="158">
                  <c:v>1.6827585946139311E-3</c:v>
                </c:pt>
                <c:pt idx="159">
                  <c:v>1.6827585946139311E-3</c:v>
                </c:pt>
                <c:pt idx="160">
                  <c:v>1.6827585946139311E-3</c:v>
                </c:pt>
                <c:pt idx="161">
                  <c:v>1.6827585946139311E-3</c:v>
                </c:pt>
                <c:pt idx="162">
                  <c:v>1.6827585946139311E-3</c:v>
                </c:pt>
                <c:pt idx="163">
                  <c:v>1.6827585946139311E-3</c:v>
                </c:pt>
                <c:pt idx="164">
                  <c:v>1.6827585946139311E-3</c:v>
                </c:pt>
                <c:pt idx="165">
                  <c:v>1.6827585946139311E-3</c:v>
                </c:pt>
                <c:pt idx="166">
                  <c:v>1.6827585946139311E-3</c:v>
                </c:pt>
                <c:pt idx="167">
                  <c:v>1.6827585946139311E-3</c:v>
                </c:pt>
                <c:pt idx="168">
                  <c:v>1.6827585946139311E-3</c:v>
                </c:pt>
                <c:pt idx="169">
                  <c:v>1.6827585946139311E-3</c:v>
                </c:pt>
                <c:pt idx="170">
                  <c:v>1.6827585946139311E-3</c:v>
                </c:pt>
                <c:pt idx="171">
                  <c:v>1.6827585946139311E-3</c:v>
                </c:pt>
                <c:pt idx="172">
                  <c:v>1.6827585946139311E-3</c:v>
                </c:pt>
                <c:pt idx="173">
                  <c:v>1.6827585946139311E-3</c:v>
                </c:pt>
                <c:pt idx="174">
                  <c:v>1.6827585946139311E-3</c:v>
                </c:pt>
                <c:pt idx="175">
                  <c:v>1.6827585946139311E-3</c:v>
                </c:pt>
                <c:pt idx="176">
                  <c:v>1.6827585946139311E-3</c:v>
                </c:pt>
                <c:pt idx="177">
                  <c:v>1.6827585946139311E-3</c:v>
                </c:pt>
                <c:pt idx="178">
                  <c:v>1.6827585946139311E-3</c:v>
                </c:pt>
                <c:pt idx="179">
                  <c:v>1.6827585946139311E-3</c:v>
                </c:pt>
                <c:pt idx="180">
                  <c:v>1.6827585946139311E-3</c:v>
                </c:pt>
                <c:pt idx="181">
                  <c:v>1.6827585946139311E-3</c:v>
                </c:pt>
                <c:pt idx="182">
                  <c:v>1.6827585946139311E-3</c:v>
                </c:pt>
                <c:pt idx="183">
                  <c:v>1.6827585946139311E-3</c:v>
                </c:pt>
                <c:pt idx="184">
                  <c:v>1.6827585946139311E-3</c:v>
                </c:pt>
                <c:pt idx="185">
                  <c:v>1.6827585946139311E-3</c:v>
                </c:pt>
                <c:pt idx="186">
                  <c:v>1.6827585946139311E-3</c:v>
                </c:pt>
                <c:pt idx="187">
                  <c:v>1.6827585946139311E-3</c:v>
                </c:pt>
                <c:pt idx="188">
                  <c:v>1.6827585946139311E-3</c:v>
                </c:pt>
                <c:pt idx="189">
                  <c:v>1.6827585946139311E-3</c:v>
                </c:pt>
                <c:pt idx="190">
                  <c:v>1.6827585946139311E-3</c:v>
                </c:pt>
                <c:pt idx="191">
                  <c:v>1.6827585946139311E-3</c:v>
                </c:pt>
                <c:pt idx="192">
                  <c:v>1.6827585946139311E-3</c:v>
                </c:pt>
                <c:pt idx="193">
                  <c:v>1.6827585946139311E-3</c:v>
                </c:pt>
                <c:pt idx="194">
                  <c:v>1.6827585946139311E-3</c:v>
                </c:pt>
                <c:pt idx="195">
                  <c:v>1.6827585946139311E-3</c:v>
                </c:pt>
                <c:pt idx="196">
                  <c:v>1.6827585946139311E-3</c:v>
                </c:pt>
                <c:pt idx="197">
                  <c:v>1.6827585946139311E-3</c:v>
                </c:pt>
                <c:pt idx="198">
                  <c:v>1.6827585946139311E-3</c:v>
                </c:pt>
                <c:pt idx="199">
                  <c:v>1.6827585946139311E-3</c:v>
                </c:pt>
                <c:pt idx="200">
                  <c:v>1.6827585946139311E-3</c:v>
                </c:pt>
                <c:pt idx="201">
                  <c:v>1.6827585946139311E-3</c:v>
                </c:pt>
                <c:pt idx="202">
                  <c:v>1.6827585946139311E-3</c:v>
                </c:pt>
                <c:pt idx="203">
                  <c:v>1.6827585946139311E-3</c:v>
                </c:pt>
                <c:pt idx="204">
                  <c:v>1.6827585946139311E-3</c:v>
                </c:pt>
                <c:pt idx="205">
                  <c:v>1.6827585946139311E-3</c:v>
                </c:pt>
                <c:pt idx="206">
                  <c:v>1.6827585946139311E-3</c:v>
                </c:pt>
                <c:pt idx="207">
                  <c:v>1.6827585946139311E-3</c:v>
                </c:pt>
                <c:pt idx="208">
                  <c:v>1.6827585946139311E-3</c:v>
                </c:pt>
                <c:pt idx="209">
                  <c:v>1.6827585946139311E-3</c:v>
                </c:pt>
                <c:pt idx="210">
                  <c:v>1.6827585946139311E-3</c:v>
                </c:pt>
                <c:pt idx="211">
                  <c:v>1.6827585946139311E-3</c:v>
                </c:pt>
                <c:pt idx="212">
                  <c:v>1.6827585946139311E-3</c:v>
                </c:pt>
                <c:pt idx="213">
                  <c:v>1.6827585946139311E-3</c:v>
                </c:pt>
                <c:pt idx="214">
                  <c:v>1.6827585946139311E-3</c:v>
                </c:pt>
                <c:pt idx="215">
                  <c:v>1.6827585946139311E-3</c:v>
                </c:pt>
                <c:pt idx="216">
                  <c:v>1.6827585946139311E-3</c:v>
                </c:pt>
                <c:pt idx="217">
                  <c:v>1.6827585946139311E-3</c:v>
                </c:pt>
                <c:pt idx="218">
                  <c:v>1.6827585946139311E-3</c:v>
                </c:pt>
                <c:pt idx="219">
                  <c:v>1.6827585946139311E-3</c:v>
                </c:pt>
                <c:pt idx="220">
                  <c:v>1.6827585946139311E-3</c:v>
                </c:pt>
                <c:pt idx="221">
                  <c:v>1.6827585946139311E-3</c:v>
                </c:pt>
                <c:pt idx="222">
                  <c:v>1.6827585946139311E-3</c:v>
                </c:pt>
                <c:pt idx="223">
                  <c:v>1.6827585946139311E-3</c:v>
                </c:pt>
                <c:pt idx="224">
                  <c:v>1.6827585946139311E-3</c:v>
                </c:pt>
                <c:pt idx="225">
                  <c:v>1.6827585946139311E-3</c:v>
                </c:pt>
                <c:pt idx="226">
                  <c:v>1.6827585946139311E-3</c:v>
                </c:pt>
                <c:pt idx="227">
                  <c:v>1.6827585946139311E-3</c:v>
                </c:pt>
                <c:pt idx="228">
                  <c:v>1.6827585946139311E-3</c:v>
                </c:pt>
                <c:pt idx="229">
                  <c:v>1.6827585946139311E-3</c:v>
                </c:pt>
                <c:pt idx="230">
                  <c:v>1.6827585946139311E-3</c:v>
                </c:pt>
                <c:pt idx="231">
                  <c:v>1.6827585946139311E-3</c:v>
                </c:pt>
                <c:pt idx="232">
                  <c:v>1.6827585946139311E-3</c:v>
                </c:pt>
                <c:pt idx="233">
                  <c:v>1.6827585946139311E-3</c:v>
                </c:pt>
                <c:pt idx="234">
                  <c:v>1.6827585946139311E-3</c:v>
                </c:pt>
                <c:pt idx="235">
                  <c:v>1.6827585946139311E-3</c:v>
                </c:pt>
                <c:pt idx="236">
                  <c:v>1.6827585946139311E-3</c:v>
                </c:pt>
                <c:pt idx="237">
                  <c:v>1.6827585946139311E-3</c:v>
                </c:pt>
                <c:pt idx="238">
                  <c:v>1.6827585946139311E-3</c:v>
                </c:pt>
                <c:pt idx="239">
                  <c:v>1.6827585946139311E-3</c:v>
                </c:pt>
                <c:pt idx="240">
                  <c:v>1.6827585946139311E-3</c:v>
                </c:pt>
                <c:pt idx="241">
                  <c:v>1.6827585946139311E-3</c:v>
                </c:pt>
                <c:pt idx="242">
                  <c:v>1.6827585946139311E-3</c:v>
                </c:pt>
                <c:pt idx="243">
                  <c:v>1.6827585946139311E-3</c:v>
                </c:pt>
                <c:pt idx="244">
                  <c:v>1.6827585946139311E-3</c:v>
                </c:pt>
                <c:pt idx="245">
                  <c:v>1.6827585946139311E-3</c:v>
                </c:pt>
                <c:pt idx="246">
                  <c:v>1.6827585946139311E-3</c:v>
                </c:pt>
                <c:pt idx="247">
                  <c:v>1.6827585946139311E-3</c:v>
                </c:pt>
                <c:pt idx="248">
                  <c:v>1.6827585946139311E-3</c:v>
                </c:pt>
                <c:pt idx="249">
                  <c:v>1.6827585946139311E-3</c:v>
                </c:pt>
                <c:pt idx="250">
                  <c:v>1.6827585946139311E-3</c:v>
                </c:pt>
                <c:pt idx="251">
                  <c:v>1.6827585946139311E-3</c:v>
                </c:pt>
                <c:pt idx="252">
                  <c:v>1.6827585946139311E-3</c:v>
                </c:pt>
                <c:pt idx="253">
                  <c:v>1.6827585946139311E-3</c:v>
                </c:pt>
                <c:pt idx="254">
                  <c:v>1.6827585946139311E-3</c:v>
                </c:pt>
                <c:pt idx="255">
                  <c:v>1.6827585946139311E-3</c:v>
                </c:pt>
                <c:pt idx="256">
                  <c:v>1.6827585946139311E-3</c:v>
                </c:pt>
                <c:pt idx="257">
                  <c:v>1.6827585946139311E-3</c:v>
                </c:pt>
                <c:pt idx="258">
                  <c:v>1.6827585946139311E-3</c:v>
                </c:pt>
                <c:pt idx="259">
                  <c:v>1.6827585946139311E-3</c:v>
                </c:pt>
                <c:pt idx="260">
                  <c:v>1.6827585946139311E-3</c:v>
                </c:pt>
                <c:pt idx="261">
                  <c:v>1.6827585946139311E-3</c:v>
                </c:pt>
                <c:pt idx="262">
                  <c:v>1.6827585946139311E-3</c:v>
                </c:pt>
                <c:pt idx="263">
                  <c:v>1.6827585946139311E-3</c:v>
                </c:pt>
                <c:pt idx="264">
                  <c:v>1.6827585946139311E-3</c:v>
                </c:pt>
                <c:pt idx="265">
                  <c:v>1.6827585946139311E-3</c:v>
                </c:pt>
                <c:pt idx="266">
                  <c:v>1.6827585946139311E-3</c:v>
                </c:pt>
                <c:pt idx="267">
                  <c:v>1.6827585946139311E-3</c:v>
                </c:pt>
                <c:pt idx="268">
                  <c:v>1.6827585946139311E-3</c:v>
                </c:pt>
                <c:pt idx="269">
                  <c:v>1.6827585946139311E-3</c:v>
                </c:pt>
                <c:pt idx="270">
                  <c:v>1.6827585946139311E-3</c:v>
                </c:pt>
                <c:pt idx="271">
                  <c:v>1.6827585946139311E-3</c:v>
                </c:pt>
                <c:pt idx="272">
                  <c:v>1.6827585946139311E-3</c:v>
                </c:pt>
                <c:pt idx="273">
                  <c:v>1.6827585946139311E-3</c:v>
                </c:pt>
                <c:pt idx="274">
                  <c:v>1.6827585946139311E-3</c:v>
                </c:pt>
                <c:pt idx="275">
                  <c:v>1.6827585946139311E-3</c:v>
                </c:pt>
                <c:pt idx="276">
                  <c:v>1.6827585946139311E-3</c:v>
                </c:pt>
                <c:pt idx="277">
                  <c:v>1.6827585946139311E-3</c:v>
                </c:pt>
                <c:pt idx="278">
                  <c:v>1.6827585946139311E-3</c:v>
                </c:pt>
                <c:pt idx="279">
                  <c:v>1.6827585946139311E-3</c:v>
                </c:pt>
                <c:pt idx="280">
                  <c:v>1.6827585946139311E-3</c:v>
                </c:pt>
                <c:pt idx="281">
                  <c:v>1.6827585946139311E-3</c:v>
                </c:pt>
                <c:pt idx="282">
                  <c:v>1.6827585946139311E-3</c:v>
                </c:pt>
                <c:pt idx="283">
                  <c:v>1.6827585946139311E-3</c:v>
                </c:pt>
                <c:pt idx="284">
                  <c:v>1.6827585946139311E-3</c:v>
                </c:pt>
                <c:pt idx="285">
                  <c:v>1.6827585946139311E-3</c:v>
                </c:pt>
                <c:pt idx="286">
                  <c:v>1.6827585946139311E-3</c:v>
                </c:pt>
                <c:pt idx="287">
                  <c:v>1.6827585946139311E-3</c:v>
                </c:pt>
                <c:pt idx="288">
                  <c:v>1.6827585946139311E-3</c:v>
                </c:pt>
                <c:pt idx="289">
                  <c:v>1.6827585946139311E-3</c:v>
                </c:pt>
                <c:pt idx="290">
                  <c:v>1.6827585946139311E-3</c:v>
                </c:pt>
                <c:pt idx="291">
                  <c:v>1.6827585946139311E-3</c:v>
                </c:pt>
                <c:pt idx="292">
                  <c:v>1.6827585946139311E-3</c:v>
                </c:pt>
                <c:pt idx="293">
                  <c:v>1.6827585946139311E-3</c:v>
                </c:pt>
                <c:pt idx="294">
                  <c:v>1.6827585946139311E-3</c:v>
                </c:pt>
                <c:pt idx="295">
                  <c:v>1.6827585946139311E-3</c:v>
                </c:pt>
                <c:pt idx="296">
                  <c:v>1.6827585946139311E-3</c:v>
                </c:pt>
                <c:pt idx="297">
                  <c:v>1.6827585946139311E-3</c:v>
                </c:pt>
                <c:pt idx="298">
                  <c:v>1.6827585946139311E-3</c:v>
                </c:pt>
                <c:pt idx="299">
                  <c:v>1.6827585946139311E-3</c:v>
                </c:pt>
                <c:pt idx="300">
                  <c:v>1.6827585946139311E-3</c:v>
                </c:pt>
                <c:pt idx="301">
                  <c:v>1.6827585946139311E-3</c:v>
                </c:pt>
                <c:pt idx="302">
                  <c:v>1.6827585946139311E-3</c:v>
                </c:pt>
                <c:pt idx="303">
                  <c:v>1.6827585946139311E-3</c:v>
                </c:pt>
                <c:pt idx="304">
                  <c:v>1.6827585946139311E-3</c:v>
                </c:pt>
                <c:pt idx="305">
                  <c:v>1.6827585946139311E-3</c:v>
                </c:pt>
                <c:pt idx="306">
                  <c:v>1.6827585946139311E-3</c:v>
                </c:pt>
                <c:pt idx="307">
                  <c:v>1.6827585946139311E-3</c:v>
                </c:pt>
                <c:pt idx="308">
                  <c:v>1.6827585946139311E-3</c:v>
                </c:pt>
                <c:pt idx="309">
                  <c:v>1.6827585946139311E-3</c:v>
                </c:pt>
                <c:pt idx="310">
                  <c:v>1.6827585946139311E-3</c:v>
                </c:pt>
                <c:pt idx="311">
                  <c:v>1.6827585946139311E-3</c:v>
                </c:pt>
                <c:pt idx="312">
                  <c:v>1.6827585946139311E-3</c:v>
                </c:pt>
                <c:pt idx="313">
                  <c:v>1.6827585946139311E-3</c:v>
                </c:pt>
                <c:pt idx="314">
                  <c:v>1.6827585946139311E-3</c:v>
                </c:pt>
                <c:pt idx="315">
                  <c:v>1.6827585946139311E-3</c:v>
                </c:pt>
                <c:pt idx="316">
                  <c:v>1.6827585946139311E-3</c:v>
                </c:pt>
                <c:pt idx="317">
                  <c:v>1.6827585946139311E-3</c:v>
                </c:pt>
                <c:pt idx="318">
                  <c:v>1.6827585946139311E-3</c:v>
                </c:pt>
                <c:pt idx="319">
                  <c:v>1.6827585946139311E-3</c:v>
                </c:pt>
                <c:pt idx="320">
                  <c:v>1.6827585946139311E-3</c:v>
                </c:pt>
                <c:pt idx="321">
                  <c:v>1.6827585946139311E-3</c:v>
                </c:pt>
                <c:pt idx="322">
                  <c:v>1.6827585946139311E-3</c:v>
                </c:pt>
                <c:pt idx="323">
                  <c:v>1.6827585946139311E-3</c:v>
                </c:pt>
                <c:pt idx="324">
                  <c:v>1.6827585946139311E-3</c:v>
                </c:pt>
                <c:pt idx="325">
                  <c:v>1.6827585946139311E-3</c:v>
                </c:pt>
                <c:pt idx="326">
                  <c:v>1.6827585946139311E-3</c:v>
                </c:pt>
                <c:pt idx="327">
                  <c:v>1.6827585946139311E-3</c:v>
                </c:pt>
                <c:pt idx="328">
                  <c:v>1.6827585946139311E-3</c:v>
                </c:pt>
                <c:pt idx="329">
                  <c:v>1.6827585946139311E-3</c:v>
                </c:pt>
                <c:pt idx="330">
                  <c:v>1.6827585946139311E-3</c:v>
                </c:pt>
                <c:pt idx="331">
                  <c:v>1.6827585946139311E-3</c:v>
                </c:pt>
                <c:pt idx="332">
                  <c:v>1.6827585946139311E-3</c:v>
                </c:pt>
                <c:pt idx="333">
                  <c:v>1.6827585946139311E-3</c:v>
                </c:pt>
                <c:pt idx="334">
                  <c:v>1.6827585946139311E-3</c:v>
                </c:pt>
                <c:pt idx="335">
                  <c:v>1.6827585946139311E-3</c:v>
                </c:pt>
                <c:pt idx="336">
                  <c:v>1.6827585946139311E-3</c:v>
                </c:pt>
                <c:pt idx="337">
                  <c:v>1.6827585946139311E-3</c:v>
                </c:pt>
                <c:pt idx="338">
                  <c:v>1.6827585946139311E-3</c:v>
                </c:pt>
                <c:pt idx="339">
                  <c:v>1.6827585946139311E-3</c:v>
                </c:pt>
                <c:pt idx="340">
                  <c:v>1.6827585946139311E-3</c:v>
                </c:pt>
                <c:pt idx="341">
                  <c:v>1.6827585946139311E-3</c:v>
                </c:pt>
                <c:pt idx="342">
                  <c:v>1.6827585946139311E-3</c:v>
                </c:pt>
                <c:pt idx="343">
                  <c:v>1.6827585946139311E-3</c:v>
                </c:pt>
                <c:pt idx="344">
                  <c:v>1.6827585946139311E-3</c:v>
                </c:pt>
                <c:pt idx="345">
                  <c:v>1.6827585946139311E-3</c:v>
                </c:pt>
                <c:pt idx="346">
                  <c:v>1.6827585946139311E-3</c:v>
                </c:pt>
                <c:pt idx="347">
                  <c:v>1.6827585946139311E-3</c:v>
                </c:pt>
                <c:pt idx="348">
                  <c:v>1.6827585946139311E-3</c:v>
                </c:pt>
                <c:pt idx="349">
                  <c:v>1.6827585946139311E-3</c:v>
                </c:pt>
                <c:pt idx="350">
                  <c:v>1.6827585946139311E-3</c:v>
                </c:pt>
                <c:pt idx="351">
                  <c:v>1.6827585946139311E-3</c:v>
                </c:pt>
                <c:pt idx="352">
                  <c:v>1.6827585946139311E-3</c:v>
                </c:pt>
                <c:pt idx="353">
                  <c:v>1.6827585946139311E-3</c:v>
                </c:pt>
                <c:pt idx="354">
                  <c:v>1.6827585946139311E-3</c:v>
                </c:pt>
                <c:pt idx="355">
                  <c:v>1.6827585946139311E-3</c:v>
                </c:pt>
                <c:pt idx="356">
                  <c:v>1.6827585946139311E-3</c:v>
                </c:pt>
                <c:pt idx="357">
                  <c:v>1.6827585946139311E-3</c:v>
                </c:pt>
                <c:pt idx="358">
                  <c:v>1.6827585946139311E-3</c:v>
                </c:pt>
                <c:pt idx="359">
                  <c:v>1.6827585946139311E-3</c:v>
                </c:pt>
                <c:pt idx="360">
                  <c:v>1.6827585946139311E-3</c:v>
                </c:pt>
                <c:pt idx="361">
                  <c:v>1.6827585946139311E-3</c:v>
                </c:pt>
                <c:pt idx="362">
                  <c:v>1.6827585946139311E-3</c:v>
                </c:pt>
                <c:pt idx="363">
                  <c:v>1.6827585946139311E-3</c:v>
                </c:pt>
                <c:pt idx="364">
                  <c:v>1.6827585946139311E-3</c:v>
                </c:pt>
                <c:pt idx="365">
                  <c:v>1.6827585946139311E-3</c:v>
                </c:pt>
                <c:pt idx="366">
                  <c:v>1.6827585946139311E-3</c:v>
                </c:pt>
                <c:pt idx="367">
                  <c:v>1.6827585946139311E-3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68-4865-82E4-BB525CA4F74C}"/>
            </c:ext>
          </c:extLst>
        </c:ser>
        <c:ser>
          <c:idx val="2"/>
          <c:order val="2"/>
          <c:tx>
            <c:v>UCL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'Raw Data'!$B$7:$B$374</c:f>
              <c:numCache>
                <c:formatCode>mmm\-yy</c:formatCode>
                <c:ptCount val="368"/>
                <c:pt idx="0">
                  <c:v>42583</c:v>
                </c:pt>
                <c:pt idx="1">
                  <c:v>42552</c:v>
                </c:pt>
                <c:pt idx="2">
                  <c:v>42523</c:v>
                </c:pt>
                <c:pt idx="3">
                  <c:v>42493</c:v>
                </c:pt>
                <c:pt idx="4">
                  <c:v>42461</c:v>
                </c:pt>
                <c:pt idx="5">
                  <c:v>42430</c:v>
                </c:pt>
                <c:pt idx="6">
                  <c:v>42401</c:v>
                </c:pt>
                <c:pt idx="7">
                  <c:v>42374</c:v>
                </c:pt>
                <c:pt idx="8">
                  <c:v>42339</c:v>
                </c:pt>
                <c:pt idx="9">
                  <c:v>42310</c:v>
                </c:pt>
                <c:pt idx="10">
                  <c:v>42279</c:v>
                </c:pt>
                <c:pt idx="11">
                  <c:v>42248</c:v>
                </c:pt>
                <c:pt idx="12">
                  <c:v>42219</c:v>
                </c:pt>
                <c:pt idx="13">
                  <c:v>42186</c:v>
                </c:pt>
                <c:pt idx="14">
                  <c:v>42156</c:v>
                </c:pt>
                <c:pt idx="15">
                  <c:v>42125</c:v>
                </c:pt>
                <c:pt idx="16">
                  <c:v>42095</c:v>
                </c:pt>
                <c:pt idx="17">
                  <c:v>42065</c:v>
                </c:pt>
                <c:pt idx="18">
                  <c:v>42037</c:v>
                </c:pt>
                <c:pt idx="19">
                  <c:v>42006</c:v>
                </c:pt>
                <c:pt idx="20">
                  <c:v>41974</c:v>
                </c:pt>
                <c:pt idx="21">
                  <c:v>41946</c:v>
                </c:pt>
                <c:pt idx="22">
                  <c:v>41913</c:v>
                </c:pt>
                <c:pt idx="23">
                  <c:v>41883</c:v>
                </c:pt>
                <c:pt idx="24">
                  <c:v>41852</c:v>
                </c:pt>
                <c:pt idx="25">
                  <c:v>41821</c:v>
                </c:pt>
                <c:pt idx="26">
                  <c:v>41792</c:v>
                </c:pt>
                <c:pt idx="27">
                  <c:v>41760</c:v>
                </c:pt>
                <c:pt idx="28">
                  <c:v>41730</c:v>
                </c:pt>
                <c:pt idx="29">
                  <c:v>41701</c:v>
                </c:pt>
                <c:pt idx="30">
                  <c:v>41673</c:v>
                </c:pt>
                <c:pt idx="31">
                  <c:v>41641</c:v>
                </c:pt>
                <c:pt idx="32">
                  <c:v>41610</c:v>
                </c:pt>
                <c:pt idx="33">
                  <c:v>41579</c:v>
                </c:pt>
                <c:pt idx="34">
                  <c:v>41548</c:v>
                </c:pt>
                <c:pt idx="35">
                  <c:v>41519</c:v>
                </c:pt>
                <c:pt idx="36">
                  <c:v>41487</c:v>
                </c:pt>
                <c:pt idx="37">
                  <c:v>41456</c:v>
                </c:pt>
                <c:pt idx="38">
                  <c:v>41428</c:v>
                </c:pt>
                <c:pt idx="39">
                  <c:v>41395</c:v>
                </c:pt>
                <c:pt idx="40">
                  <c:v>41366</c:v>
                </c:pt>
                <c:pt idx="41">
                  <c:v>41334</c:v>
                </c:pt>
                <c:pt idx="42">
                  <c:v>41306</c:v>
                </c:pt>
                <c:pt idx="43">
                  <c:v>41276</c:v>
                </c:pt>
                <c:pt idx="44">
                  <c:v>41246</c:v>
                </c:pt>
                <c:pt idx="45">
                  <c:v>41214</c:v>
                </c:pt>
                <c:pt idx="46">
                  <c:v>41183</c:v>
                </c:pt>
                <c:pt idx="47">
                  <c:v>41155</c:v>
                </c:pt>
                <c:pt idx="48">
                  <c:v>41122</c:v>
                </c:pt>
                <c:pt idx="49">
                  <c:v>41092</c:v>
                </c:pt>
                <c:pt idx="50">
                  <c:v>41061</c:v>
                </c:pt>
                <c:pt idx="51">
                  <c:v>41030</c:v>
                </c:pt>
                <c:pt idx="52">
                  <c:v>41001</c:v>
                </c:pt>
                <c:pt idx="53">
                  <c:v>40969</c:v>
                </c:pt>
                <c:pt idx="54">
                  <c:v>40940</c:v>
                </c:pt>
                <c:pt idx="55">
                  <c:v>40911</c:v>
                </c:pt>
                <c:pt idx="56">
                  <c:v>40878</c:v>
                </c:pt>
                <c:pt idx="57">
                  <c:v>40848</c:v>
                </c:pt>
                <c:pt idx="58">
                  <c:v>40819</c:v>
                </c:pt>
                <c:pt idx="59">
                  <c:v>40787</c:v>
                </c:pt>
                <c:pt idx="60">
                  <c:v>40756</c:v>
                </c:pt>
                <c:pt idx="61">
                  <c:v>40725</c:v>
                </c:pt>
                <c:pt idx="62">
                  <c:v>40695</c:v>
                </c:pt>
                <c:pt idx="63">
                  <c:v>40666</c:v>
                </c:pt>
                <c:pt idx="64">
                  <c:v>40634</c:v>
                </c:pt>
                <c:pt idx="65">
                  <c:v>40603</c:v>
                </c:pt>
                <c:pt idx="66">
                  <c:v>40575</c:v>
                </c:pt>
                <c:pt idx="67">
                  <c:v>40547</c:v>
                </c:pt>
                <c:pt idx="68">
                  <c:v>40513</c:v>
                </c:pt>
                <c:pt idx="69">
                  <c:v>40483</c:v>
                </c:pt>
                <c:pt idx="70">
                  <c:v>40452</c:v>
                </c:pt>
                <c:pt idx="71">
                  <c:v>40422</c:v>
                </c:pt>
                <c:pt idx="72">
                  <c:v>40392</c:v>
                </c:pt>
                <c:pt idx="73">
                  <c:v>40360</c:v>
                </c:pt>
                <c:pt idx="74">
                  <c:v>40330</c:v>
                </c:pt>
                <c:pt idx="75">
                  <c:v>40302</c:v>
                </c:pt>
                <c:pt idx="76">
                  <c:v>40269</c:v>
                </c:pt>
                <c:pt idx="77">
                  <c:v>40238</c:v>
                </c:pt>
                <c:pt idx="78">
                  <c:v>40210</c:v>
                </c:pt>
                <c:pt idx="79">
                  <c:v>40182</c:v>
                </c:pt>
                <c:pt idx="80">
                  <c:v>40148</c:v>
                </c:pt>
                <c:pt idx="81">
                  <c:v>40119</c:v>
                </c:pt>
                <c:pt idx="82">
                  <c:v>40087</c:v>
                </c:pt>
                <c:pt idx="83">
                  <c:v>40057</c:v>
                </c:pt>
                <c:pt idx="84">
                  <c:v>40028</c:v>
                </c:pt>
                <c:pt idx="85">
                  <c:v>39995</c:v>
                </c:pt>
                <c:pt idx="86">
                  <c:v>39965</c:v>
                </c:pt>
                <c:pt idx="87">
                  <c:v>39934</c:v>
                </c:pt>
                <c:pt idx="88">
                  <c:v>39904</c:v>
                </c:pt>
                <c:pt idx="89">
                  <c:v>39874</c:v>
                </c:pt>
                <c:pt idx="90">
                  <c:v>39846</c:v>
                </c:pt>
                <c:pt idx="91">
                  <c:v>39815</c:v>
                </c:pt>
                <c:pt idx="92">
                  <c:v>39783</c:v>
                </c:pt>
                <c:pt idx="93">
                  <c:v>39755</c:v>
                </c:pt>
                <c:pt idx="94">
                  <c:v>39722</c:v>
                </c:pt>
                <c:pt idx="95">
                  <c:v>39692</c:v>
                </c:pt>
                <c:pt idx="96">
                  <c:v>39661</c:v>
                </c:pt>
                <c:pt idx="97">
                  <c:v>39630</c:v>
                </c:pt>
                <c:pt idx="98">
                  <c:v>39601</c:v>
                </c:pt>
                <c:pt idx="99">
                  <c:v>39569</c:v>
                </c:pt>
                <c:pt idx="100">
                  <c:v>39539</c:v>
                </c:pt>
                <c:pt idx="101">
                  <c:v>39510</c:v>
                </c:pt>
                <c:pt idx="102">
                  <c:v>39479</c:v>
                </c:pt>
                <c:pt idx="103">
                  <c:v>39449</c:v>
                </c:pt>
                <c:pt idx="104">
                  <c:v>39419</c:v>
                </c:pt>
                <c:pt idx="105">
                  <c:v>39387</c:v>
                </c:pt>
                <c:pt idx="106">
                  <c:v>39356</c:v>
                </c:pt>
                <c:pt idx="107">
                  <c:v>39328</c:v>
                </c:pt>
                <c:pt idx="108">
                  <c:v>39295</c:v>
                </c:pt>
                <c:pt idx="109">
                  <c:v>39265</c:v>
                </c:pt>
                <c:pt idx="110">
                  <c:v>39234</c:v>
                </c:pt>
                <c:pt idx="111">
                  <c:v>39203</c:v>
                </c:pt>
                <c:pt idx="112">
                  <c:v>39174</c:v>
                </c:pt>
                <c:pt idx="113">
                  <c:v>39142</c:v>
                </c:pt>
                <c:pt idx="114">
                  <c:v>39114</c:v>
                </c:pt>
                <c:pt idx="115">
                  <c:v>39084</c:v>
                </c:pt>
                <c:pt idx="116">
                  <c:v>39052</c:v>
                </c:pt>
                <c:pt idx="117">
                  <c:v>39022</c:v>
                </c:pt>
                <c:pt idx="118">
                  <c:v>38992</c:v>
                </c:pt>
                <c:pt idx="119">
                  <c:v>38961</c:v>
                </c:pt>
                <c:pt idx="120">
                  <c:v>38930</c:v>
                </c:pt>
                <c:pt idx="121">
                  <c:v>38901</c:v>
                </c:pt>
                <c:pt idx="122">
                  <c:v>38869</c:v>
                </c:pt>
                <c:pt idx="123">
                  <c:v>38839</c:v>
                </c:pt>
                <c:pt idx="124">
                  <c:v>38810</c:v>
                </c:pt>
                <c:pt idx="125">
                  <c:v>38777</c:v>
                </c:pt>
                <c:pt idx="126">
                  <c:v>38749</c:v>
                </c:pt>
                <c:pt idx="127">
                  <c:v>38720</c:v>
                </c:pt>
                <c:pt idx="128">
                  <c:v>38687</c:v>
                </c:pt>
                <c:pt idx="129">
                  <c:v>38657</c:v>
                </c:pt>
                <c:pt idx="130">
                  <c:v>38628</c:v>
                </c:pt>
                <c:pt idx="131">
                  <c:v>38596</c:v>
                </c:pt>
                <c:pt idx="132">
                  <c:v>38565</c:v>
                </c:pt>
                <c:pt idx="133">
                  <c:v>38534</c:v>
                </c:pt>
                <c:pt idx="134">
                  <c:v>38504</c:v>
                </c:pt>
                <c:pt idx="135">
                  <c:v>38475</c:v>
                </c:pt>
                <c:pt idx="136">
                  <c:v>38443</c:v>
                </c:pt>
                <c:pt idx="137">
                  <c:v>38412</c:v>
                </c:pt>
                <c:pt idx="138">
                  <c:v>38384</c:v>
                </c:pt>
                <c:pt idx="139">
                  <c:v>38356</c:v>
                </c:pt>
                <c:pt idx="140">
                  <c:v>38322</c:v>
                </c:pt>
                <c:pt idx="141">
                  <c:v>38292</c:v>
                </c:pt>
                <c:pt idx="142">
                  <c:v>38261</c:v>
                </c:pt>
                <c:pt idx="143">
                  <c:v>38231</c:v>
                </c:pt>
                <c:pt idx="144">
                  <c:v>38201</c:v>
                </c:pt>
                <c:pt idx="145">
                  <c:v>38169</c:v>
                </c:pt>
                <c:pt idx="146">
                  <c:v>38139</c:v>
                </c:pt>
                <c:pt idx="147">
                  <c:v>38111</c:v>
                </c:pt>
                <c:pt idx="148">
                  <c:v>38078</c:v>
                </c:pt>
                <c:pt idx="149">
                  <c:v>38047</c:v>
                </c:pt>
                <c:pt idx="150">
                  <c:v>38019</c:v>
                </c:pt>
                <c:pt idx="151">
                  <c:v>37988</c:v>
                </c:pt>
                <c:pt idx="152">
                  <c:v>37956</c:v>
                </c:pt>
                <c:pt idx="153">
                  <c:v>37928</c:v>
                </c:pt>
                <c:pt idx="154">
                  <c:v>37895</c:v>
                </c:pt>
                <c:pt idx="155">
                  <c:v>37865</c:v>
                </c:pt>
                <c:pt idx="156">
                  <c:v>37834</c:v>
                </c:pt>
                <c:pt idx="157">
                  <c:v>37803</c:v>
                </c:pt>
                <c:pt idx="158">
                  <c:v>37774</c:v>
                </c:pt>
                <c:pt idx="159">
                  <c:v>37742</c:v>
                </c:pt>
                <c:pt idx="160">
                  <c:v>37712</c:v>
                </c:pt>
                <c:pt idx="161">
                  <c:v>37683</c:v>
                </c:pt>
                <c:pt idx="162">
                  <c:v>37655</c:v>
                </c:pt>
                <c:pt idx="163">
                  <c:v>37623</c:v>
                </c:pt>
                <c:pt idx="164">
                  <c:v>37592</c:v>
                </c:pt>
                <c:pt idx="165">
                  <c:v>37561</c:v>
                </c:pt>
                <c:pt idx="166">
                  <c:v>37530</c:v>
                </c:pt>
                <c:pt idx="167">
                  <c:v>37501</c:v>
                </c:pt>
                <c:pt idx="168">
                  <c:v>37469</c:v>
                </c:pt>
                <c:pt idx="169">
                  <c:v>37438</c:v>
                </c:pt>
                <c:pt idx="170">
                  <c:v>37412</c:v>
                </c:pt>
                <c:pt idx="171">
                  <c:v>37377</c:v>
                </c:pt>
                <c:pt idx="172">
                  <c:v>37348</c:v>
                </c:pt>
                <c:pt idx="173">
                  <c:v>37316</c:v>
                </c:pt>
                <c:pt idx="174">
                  <c:v>37288</c:v>
                </c:pt>
                <c:pt idx="175">
                  <c:v>37258</c:v>
                </c:pt>
                <c:pt idx="176">
                  <c:v>37228</c:v>
                </c:pt>
                <c:pt idx="177">
                  <c:v>37196</c:v>
                </c:pt>
                <c:pt idx="178">
                  <c:v>37165</c:v>
                </c:pt>
                <c:pt idx="179">
                  <c:v>37137</c:v>
                </c:pt>
                <c:pt idx="180">
                  <c:v>37104</c:v>
                </c:pt>
                <c:pt idx="181">
                  <c:v>37074</c:v>
                </c:pt>
                <c:pt idx="182">
                  <c:v>37043</c:v>
                </c:pt>
                <c:pt idx="183">
                  <c:v>37012</c:v>
                </c:pt>
                <c:pt idx="184">
                  <c:v>36983</c:v>
                </c:pt>
                <c:pt idx="185">
                  <c:v>36951</c:v>
                </c:pt>
                <c:pt idx="186">
                  <c:v>36923</c:v>
                </c:pt>
                <c:pt idx="187">
                  <c:v>36893</c:v>
                </c:pt>
                <c:pt idx="188">
                  <c:v>36861</c:v>
                </c:pt>
                <c:pt idx="189">
                  <c:v>36831</c:v>
                </c:pt>
                <c:pt idx="190">
                  <c:v>36801</c:v>
                </c:pt>
                <c:pt idx="191">
                  <c:v>36770</c:v>
                </c:pt>
                <c:pt idx="192">
                  <c:v>36739</c:v>
                </c:pt>
                <c:pt idx="193">
                  <c:v>36710</c:v>
                </c:pt>
                <c:pt idx="194">
                  <c:v>36678</c:v>
                </c:pt>
                <c:pt idx="195">
                  <c:v>36648</c:v>
                </c:pt>
                <c:pt idx="196">
                  <c:v>36619</c:v>
                </c:pt>
                <c:pt idx="197">
                  <c:v>36586</c:v>
                </c:pt>
                <c:pt idx="198">
                  <c:v>36557</c:v>
                </c:pt>
                <c:pt idx="199">
                  <c:v>36529</c:v>
                </c:pt>
                <c:pt idx="200">
                  <c:v>36495</c:v>
                </c:pt>
                <c:pt idx="201">
                  <c:v>36465</c:v>
                </c:pt>
                <c:pt idx="202">
                  <c:v>36434</c:v>
                </c:pt>
                <c:pt idx="203">
                  <c:v>36404</c:v>
                </c:pt>
                <c:pt idx="204">
                  <c:v>36374</c:v>
                </c:pt>
                <c:pt idx="205">
                  <c:v>36342</c:v>
                </c:pt>
                <c:pt idx="206">
                  <c:v>36312</c:v>
                </c:pt>
                <c:pt idx="207">
                  <c:v>36284</c:v>
                </c:pt>
                <c:pt idx="208">
                  <c:v>36251</c:v>
                </c:pt>
                <c:pt idx="209">
                  <c:v>36220</c:v>
                </c:pt>
                <c:pt idx="210">
                  <c:v>36192</c:v>
                </c:pt>
                <c:pt idx="211">
                  <c:v>36161</c:v>
                </c:pt>
                <c:pt idx="212">
                  <c:v>36130</c:v>
                </c:pt>
                <c:pt idx="213">
                  <c:v>36101</c:v>
                </c:pt>
                <c:pt idx="214">
                  <c:v>36069</c:v>
                </c:pt>
                <c:pt idx="215">
                  <c:v>36039</c:v>
                </c:pt>
                <c:pt idx="216">
                  <c:v>36010</c:v>
                </c:pt>
                <c:pt idx="217">
                  <c:v>35977</c:v>
                </c:pt>
                <c:pt idx="218">
                  <c:v>35947</c:v>
                </c:pt>
                <c:pt idx="219">
                  <c:v>35916</c:v>
                </c:pt>
                <c:pt idx="220">
                  <c:v>35886</c:v>
                </c:pt>
                <c:pt idx="221">
                  <c:v>35856</c:v>
                </c:pt>
                <c:pt idx="222">
                  <c:v>35828</c:v>
                </c:pt>
                <c:pt idx="223">
                  <c:v>35796</c:v>
                </c:pt>
                <c:pt idx="224">
                  <c:v>35765</c:v>
                </c:pt>
                <c:pt idx="225">
                  <c:v>35737</c:v>
                </c:pt>
                <c:pt idx="226">
                  <c:v>35704</c:v>
                </c:pt>
                <c:pt idx="227">
                  <c:v>35674</c:v>
                </c:pt>
                <c:pt idx="228">
                  <c:v>35643</c:v>
                </c:pt>
                <c:pt idx="229">
                  <c:v>35612</c:v>
                </c:pt>
                <c:pt idx="230">
                  <c:v>35583</c:v>
                </c:pt>
                <c:pt idx="231">
                  <c:v>35551</c:v>
                </c:pt>
                <c:pt idx="232">
                  <c:v>35521</c:v>
                </c:pt>
                <c:pt idx="233">
                  <c:v>35492</c:v>
                </c:pt>
                <c:pt idx="234">
                  <c:v>35464</c:v>
                </c:pt>
                <c:pt idx="235">
                  <c:v>35431</c:v>
                </c:pt>
                <c:pt idx="236">
                  <c:v>35401</c:v>
                </c:pt>
                <c:pt idx="237">
                  <c:v>35370</c:v>
                </c:pt>
                <c:pt idx="238">
                  <c:v>35339</c:v>
                </c:pt>
                <c:pt idx="239">
                  <c:v>35310</c:v>
                </c:pt>
                <c:pt idx="240">
                  <c:v>35278</c:v>
                </c:pt>
                <c:pt idx="241">
                  <c:v>35247</c:v>
                </c:pt>
                <c:pt idx="242">
                  <c:v>35219</c:v>
                </c:pt>
                <c:pt idx="243">
                  <c:v>35186</c:v>
                </c:pt>
                <c:pt idx="244">
                  <c:v>35156</c:v>
                </c:pt>
                <c:pt idx="245">
                  <c:v>35125</c:v>
                </c:pt>
                <c:pt idx="246">
                  <c:v>35096</c:v>
                </c:pt>
                <c:pt idx="247">
                  <c:v>35065</c:v>
                </c:pt>
                <c:pt idx="248">
                  <c:v>35034</c:v>
                </c:pt>
                <c:pt idx="249">
                  <c:v>35004</c:v>
                </c:pt>
                <c:pt idx="250">
                  <c:v>34974</c:v>
                </c:pt>
                <c:pt idx="251">
                  <c:v>34943</c:v>
                </c:pt>
                <c:pt idx="252">
                  <c:v>34912</c:v>
                </c:pt>
                <c:pt idx="253">
                  <c:v>34883</c:v>
                </c:pt>
                <c:pt idx="254">
                  <c:v>34851</c:v>
                </c:pt>
                <c:pt idx="255">
                  <c:v>34820</c:v>
                </c:pt>
                <c:pt idx="256">
                  <c:v>34792</c:v>
                </c:pt>
                <c:pt idx="257">
                  <c:v>34759</c:v>
                </c:pt>
                <c:pt idx="258">
                  <c:v>34731</c:v>
                </c:pt>
                <c:pt idx="259">
                  <c:v>34701</c:v>
                </c:pt>
                <c:pt idx="260">
                  <c:v>34669</c:v>
                </c:pt>
                <c:pt idx="261">
                  <c:v>34639</c:v>
                </c:pt>
                <c:pt idx="262">
                  <c:v>34610</c:v>
                </c:pt>
                <c:pt idx="263">
                  <c:v>34578</c:v>
                </c:pt>
                <c:pt idx="264">
                  <c:v>34547</c:v>
                </c:pt>
                <c:pt idx="265">
                  <c:v>34516</c:v>
                </c:pt>
                <c:pt idx="266">
                  <c:v>34486</c:v>
                </c:pt>
                <c:pt idx="267">
                  <c:v>34456</c:v>
                </c:pt>
                <c:pt idx="268">
                  <c:v>34425</c:v>
                </c:pt>
                <c:pt idx="269">
                  <c:v>34394</c:v>
                </c:pt>
                <c:pt idx="270">
                  <c:v>34366</c:v>
                </c:pt>
                <c:pt idx="271">
                  <c:v>34337</c:v>
                </c:pt>
                <c:pt idx="272">
                  <c:v>34304</c:v>
                </c:pt>
                <c:pt idx="273">
                  <c:v>34274</c:v>
                </c:pt>
                <c:pt idx="274">
                  <c:v>34243</c:v>
                </c:pt>
                <c:pt idx="275">
                  <c:v>34213</c:v>
                </c:pt>
                <c:pt idx="276">
                  <c:v>34183</c:v>
                </c:pt>
                <c:pt idx="277">
                  <c:v>34151</c:v>
                </c:pt>
                <c:pt idx="278">
                  <c:v>34121</c:v>
                </c:pt>
                <c:pt idx="279">
                  <c:v>34092</c:v>
                </c:pt>
                <c:pt idx="280">
                  <c:v>34060</c:v>
                </c:pt>
                <c:pt idx="281">
                  <c:v>34029</c:v>
                </c:pt>
                <c:pt idx="282">
                  <c:v>34001</c:v>
                </c:pt>
                <c:pt idx="283">
                  <c:v>33970</c:v>
                </c:pt>
                <c:pt idx="284">
                  <c:v>33939</c:v>
                </c:pt>
                <c:pt idx="285">
                  <c:v>33910</c:v>
                </c:pt>
                <c:pt idx="286">
                  <c:v>33878</c:v>
                </c:pt>
                <c:pt idx="287">
                  <c:v>33848</c:v>
                </c:pt>
                <c:pt idx="288">
                  <c:v>33819</c:v>
                </c:pt>
                <c:pt idx="289">
                  <c:v>33786</c:v>
                </c:pt>
                <c:pt idx="290">
                  <c:v>33756</c:v>
                </c:pt>
                <c:pt idx="291">
                  <c:v>33725</c:v>
                </c:pt>
                <c:pt idx="292">
                  <c:v>33695</c:v>
                </c:pt>
                <c:pt idx="293">
                  <c:v>33665</c:v>
                </c:pt>
                <c:pt idx="294">
                  <c:v>33637</c:v>
                </c:pt>
                <c:pt idx="295">
                  <c:v>33604</c:v>
                </c:pt>
                <c:pt idx="296">
                  <c:v>33574</c:v>
                </c:pt>
                <c:pt idx="297">
                  <c:v>33543</c:v>
                </c:pt>
                <c:pt idx="298">
                  <c:v>33512</c:v>
                </c:pt>
                <c:pt idx="299">
                  <c:v>33483</c:v>
                </c:pt>
                <c:pt idx="300">
                  <c:v>33451</c:v>
                </c:pt>
                <c:pt idx="301">
                  <c:v>33420</c:v>
                </c:pt>
                <c:pt idx="302">
                  <c:v>33392</c:v>
                </c:pt>
                <c:pt idx="303">
                  <c:v>33359</c:v>
                </c:pt>
                <c:pt idx="304">
                  <c:v>33329</c:v>
                </c:pt>
                <c:pt idx="305">
                  <c:v>33298</c:v>
                </c:pt>
                <c:pt idx="306">
                  <c:v>33270</c:v>
                </c:pt>
                <c:pt idx="307">
                  <c:v>33239</c:v>
                </c:pt>
                <c:pt idx="308">
                  <c:v>33210</c:v>
                </c:pt>
                <c:pt idx="309">
                  <c:v>33178</c:v>
                </c:pt>
                <c:pt idx="310">
                  <c:v>33147</c:v>
                </c:pt>
                <c:pt idx="311">
                  <c:v>33119</c:v>
                </c:pt>
                <c:pt idx="312">
                  <c:v>33086</c:v>
                </c:pt>
                <c:pt idx="313">
                  <c:v>33056</c:v>
                </c:pt>
                <c:pt idx="314">
                  <c:v>33025</c:v>
                </c:pt>
                <c:pt idx="315">
                  <c:v>32994</c:v>
                </c:pt>
                <c:pt idx="316">
                  <c:v>32965</c:v>
                </c:pt>
                <c:pt idx="317">
                  <c:v>32933</c:v>
                </c:pt>
                <c:pt idx="318">
                  <c:v>32905</c:v>
                </c:pt>
                <c:pt idx="319">
                  <c:v>32874</c:v>
                </c:pt>
                <c:pt idx="320">
                  <c:v>32843</c:v>
                </c:pt>
                <c:pt idx="321">
                  <c:v>32813</c:v>
                </c:pt>
                <c:pt idx="322">
                  <c:v>32783</c:v>
                </c:pt>
                <c:pt idx="323">
                  <c:v>32752</c:v>
                </c:pt>
                <c:pt idx="324">
                  <c:v>32721</c:v>
                </c:pt>
                <c:pt idx="325">
                  <c:v>32692</c:v>
                </c:pt>
                <c:pt idx="326">
                  <c:v>32660</c:v>
                </c:pt>
                <c:pt idx="327">
                  <c:v>32629</c:v>
                </c:pt>
                <c:pt idx="328">
                  <c:v>32601</c:v>
                </c:pt>
                <c:pt idx="329">
                  <c:v>32568</c:v>
                </c:pt>
                <c:pt idx="330">
                  <c:v>32540</c:v>
                </c:pt>
                <c:pt idx="331">
                  <c:v>32510</c:v>
                </c:pt>
                <c:pt idx="332">
                  <c:v>32478</c:v>
                </c:pt>
                <c:pt idx="333">
                  <c:v>32448</c:v>
                </c:pt>
                <c:pt idx="334">
                  <c:v>32419</c:v>
                </c:pt>
                <c:pt idx="335">
                  <c:v>32387</c:v>
                </c:pt>
                <c:pt idx="336">
                  <c:v>32356</c:v>
                </c:pt>
                <c:pt idx="337">
                  <c:v>32325</c:v>
                </c:pt>
                <c:pt idx="338">
                  <c:v>32295</c:v>
                </c:pt>
                <c:pt idx="339">
                  <c:v>32265</c:v>
                </c:pt>
                <c:pt idx="340">
                  <c:v>32234</c:v>
                </c:pt>
                <c:pt idx="341">
                  <c:v>32203</c:v>
                </c:pt>
                <c:pt idx="342">
                  <c:v>32174</c:v>
                </c:pt>
                <c:pt idx="343">
                  <c:v>32143</c:v>
                </c:pt>
                <c:pt idx="344">
                  <c:v>32112</c:v>
                </c:pt>
                <c:pt idx="345">
                  <c:v>32083</c:v>
                </c:pt>
                <c:pt idx="346">
                  <c:v>32051</c:v>
                </c:pt>
                <c:pt idx="347">
                  <c:v>32021</c:v>
                </c:pt>
                <c:pt idx="348">
                  <c:v>31992</c:v>
                </c:pt>
                <c:pt idx="349">
                  <c:v>31959</c:v>
                </c:pt>
                <c:pt idx="350">
                  <c:v>31929</c:v>
                </c:pt>
                <c:pt idx="351">
                  <c:v>31898</c:v>
                </c:pt>
                <c:pt idx="352">
                  <c:v>31868</c:v>
                </c:pt>
                <c:pt idx="353">
                  <c:v>31838</c:v>
                </c:pt>
                <c:pt idx="354">
                  <c:v>31810</c:v>
                </c:pt>
                <c:pt idx="355">
                  <c:v>31778</c:v>
                </c:pt>
                <c:pt idx="356">
                  <c:v>31747</c:v>
                </c:pt>
                <c:pt idx="357">
                  <c:v>31719</c:v>
                </c:pt>
                <c:pt idx="358">
                  <c:v>31686</c:v>
                </c:pt>
                <c:pt idx="359">
                  <c:v>31656</c:v>
                </c:pt>
                <c:pt idx="360">
                  <c:v>31625</c:v>
                </c:pt>
                <c:pt idx="361">
                  <c:v>31594</c:v>
                </c:pt>
                <c:pt idx="362">
                  <c:v>31565</c:v>
                </c:pt>
                <c:pt idx="363">
                  <c:v>31533</c:v>
                </c:pt>
                <c:pt idx="364">
                  <c:v>31503</c:v>
                </c:pt>
                <c:pt idx="365">
                  <c:v>31474</c:v>
                </c:pt>
                <c:pt idx="366">
                  <c:v>31446</c:v>
                </c:pt>
                <c:pt idx="367">
                  <c:v>31413</c:v>
                </c:pt>
              </c:numCache>
            </c:numRef>
          </c:cat>
          <c:val>
            <c:numRef>
              <c:f>'Raw Data'!$G$7:$G$374</c:f>
              <c:numCache>
                <c:formatCode>0.00%</c:formatCode>
                <c:ptCount val="368"/>
                <c:pt idx="0">
                  <c:v>0.16157057372050279</c:v>
                </c:pt>
                <c:pt idx="1">
                  <c:v>0.16157057372050279</c:v>
                </c:pt>
                <c:pt idx="2">
                  <c:v>0.16157057372050279</c:v>
                </c:pt>
                <c:pt idx="3">
                  <c:v>0.16157057372050279</c:v>
                </c:pt>
                <c:pt idx="4">
                  <c:v>0.16157057372050279</c:v>
                </c:pt>
                <c:pt idx="5">
                  <c:v>0.16157057372050279</c:v>
                </c:pt>
                <c:pt idx="6">
                  <c:v>0.16157057372050279</c:v>
                </c:pt>
                <c:pt idx="7">
                  <c:v>0.16157057372050279</c:v>
                </c:pt>
                <c:pt idx="8">
                  <c:v>0.16157057372050279</c:v>
                </c:pt>
                <c:pt idx="9">
                  <c:v>0.16157057372050279</c:v>
                </c:pt>
                <c:pt idx="10">
                  <c:v>0.16157057372050279</c:v>
                </c:pt>
                <c:pt idx="11">
                  <c:v>0.16157057372050279</c:v>
                </c:pt>
                <c:pt idx="12">
                  <c:v>0.16157057372050279</c:v>
                </c:pt>
                <c:pt idx="13">
                  <c:v>0.16157057372050279</c:v>
                </c:pt>
                <c:pt idx="14">
                  <c:v>0.16157057372050279</c:v>
                </c:pt>
                <c:pt idx="15">
                  <c:v>0.16157057372050279</c:v>
                </c:pt>
                <c:pt idx="16">
                  <c:v>0.16157057372050279</c:v>
                </c:pt>
                <c:pt idx="17">
                  <c:v>0.16157057372050279</c:v>
                </c:pt>
                <c:pt idx="18">
                  <c:v>0.16157057372050279</c:v>
                </c:pt>
                <c:pt idx="19">
                  <c:v>0.16157057372050279</c:v>
                </c:pt>
                <c:pt idx="20">
                  <c:v>0.16157057372050279</c:v>
                </c:pt>
                <c:pt idx="21">
                  <c:v>0.16157057372050279</c:v>
                </c:pt>
                <c:pt idx="22">
                  <c:v>0.16157057372050279</c:v>
                </c:pt>
                <c:pt idx="23">
                  <c:v>0.16157057372050279</c:v>
                </c:pt>
                <c:pt idx="24">
                  <c:v>0.16157057372050279</c:v>
                </c:pt>
                <c:pt idx="25">
                  <c:v>0.16157057372050279</c:v>
                </c:pt>
                <c:pt idx="26">
                  <c:v>0.16157057372050279</c:v>
                </c:pt>
                <c:pt idx="27">
                  <c:v>0.16157057372050279</c:v>
                </c:pt>
                <c:pt idx="28">
                  <c:v>0.16157057372050279</c:v>
                </c:pt>
                <c:pt idx="29">
                  <c:v>0.16157057372050279</c:v>
                </c:pt>
                <c:pt idx="30">
                  <c:v>0.16157057372050279</c:v>
                </c:pt>
                <c:pt idx="31">
                  <c:v>0.16157057372050279</c:v>
                </c:pt>
                <c:pt idx="32">
                  <c:v>0.16157057372050279</c:v>
                </c:pt>
                <c:pt idx="33">
                  <c:v>0.16157057372050279</c:v>
                </c:pt>
                <c:pt idx="34">
                  <c:v>0.16157057372050279</c:v>
                </c:pt>
                <c:pt idx="35">
                  <c:v>0.16157057372050279</c:v>
                </c:pt>
                <c:pt idx="36">
                  <c:v>0.16157057372050279</c:v>
                </c:pt>
                <c:pt idx="37">
                  <c:v>0.16157057372050279</c:v>
                </c:pt>
                <c:pt idx="38">
                  <c:v>0.16157057372050279</c:v>
                </c:pt>
                <c:pt idx="39">
                  <c:v>0.16157057372050279</c:v>
                </c:pt>
                <c:pt idx="40">
                  <c:v>0.16157057372050279</c:v>
                </c:pt>
                <c:pt idx="41">
                  <c:v>0.16157057372050279</c:v>
                </c:pt>
                <c:pt idx="42">
                  <c:v>0.16157057372050279</c:v>
                </c:pt>
                <c:pt idx="43">
                  <c:v>0.16157057372050279</c:v>
                </c:pt>
                <c:pt idx="44">
                  <c:v>0.16157057372050279</c:v>
                </c:pt>
                <c:pt idx="45">
                  <c:v>0.16157057372050279</c:v>
                </c:pt>
                <c:pt idx="46">
                  <c:v>0.16157057372050279</c:v>
                </c:pt>
                <c:pt idx="47">
                  <c:v>0.16157057372050279</c:v>
                </c:pt>
                <c:pt idx="48">
                  <c:v>0.16157057372050279</c:v>
                </c:pt>
                <c:pt idx="49">
                  <c:v>0.16157057372050279</c:v>
                </c:pt>
                <c:pt idx="50">
                  <c:v>0.16157057372050279</c:v>
                </c:pt>
                <c:pt idx="51">
                  <c:v>0.16157057372050279</c:v>
                </c:pt>
                <c:pt idx="52">
                  <c:v>0.16157057372050279</c:v>
                </c:pt>
                <c:pt idx="53">
                  <c:v>0.16157057372050279</c:v>
                </c:pt>
                <c:pt idx="54">
                  <c:v>0.16157057372050279</c:v>
                </c:pt>
                <c:pt idx="55">
                  <c:v>0.16157057372050279</c:v>
                </c:pt>
                <c:pt idx="56">
                  <c:v>0.16157057372050279</c:v>
                </c:pt>
                <c:pt idx="57">
                  <c:v>0.16157057372050279</c:v>
                </c:pt>
                <c:pt idx="58">
                  <c:v>0.16157057372050279</c:v>
                </c:pt>
                <c:pt idx="59">
                  <c:v>0.16157057372050279</c:v>
                </c:pt>
                <c:pt idx="60">
                  <c:v>0.16157057372050279</c:v>
                </c:pt>
                <c:pt idx="61">
                  <c:v>0.16157057372050279</c:v>
                </c:pt>
                <c:pt idx="62">
                  <c:v>0.16157057372050279</c:v>
                </c:pt>
                <c:pt idx="63">
                  <c:v>0.16157057372050279</c:v>
                </c:pt>
                <c:pt idx="64">
                  <c:v>0.16157057372050279</c:v>
                </c:pt>
                <c:pt idx="65">
                  <c:v>0.16157057372050279</c:v>
                </c:pt>
                <c:pt idx="66">
                  <c:v>0.16157057372050279</c:v>
                </c:pt>
                <c:pt idx="67">
                  <c:v>0.16157057372050279</c:v>
                </c:pt>
                <c:pt idx="68">
                  <c:v>0.16157057372050279</c:v>
                </c:pt>
                <c:pt idx="69">
                  <c:v>0.16157057372050279</c:v>
                </c:pt>
                <c:pt idx="70">
                  <c:v>0.16157057372050279</c:v>
                </c:pt>
                <c:pt idx="71">
                  <c:v>0.16157057372050279</c:v>
                </c:pt>
                <c:pt idx="72">
                  <c:v>0.16157057372050279</c:v>
                </c:pt>
                <c:pt idx="73">
                  <c:v>0.16157057372050279</c:v>
                </c:pt>
                <c:pt idx="74">
                  <c:v>0.16157057372050279</c:v>
                </c:pt>
                <c:pt idx="75">
                  <c:v>0.16157057372050279</c:v>
                </c:pt>
                <c:pt idx="76">
                  <c:v>0.16157057372050279</c:v>
                </c:pt>
                <c:pt idx="77">
                  <c:v>0.16157057372050279</c:v>
                </c:pt>
                <c:pt idx="78">
                  <c:v>0.16157057372050279</c:v>
                </c:pt>
                <c:pt idx="79">
                  <c:v>0.16157057372050279</c:v>
                </c:pt>
                <c:pt idx="80">
                  <c:v>0.16157057372050279</c:v>
                </c:pt>
                <c:pt idx="81">
                  <c:v>0.16157057372050279</c:v>
                </c:pt>
                <c:pt idx="82">
                  <c:v>0.16157057372050279</c:v>
                </c:pt>
                <c:pt idx="83">
                  <c:v>0.16157057372050279</c:v>
                </c:pt>
                <c:pt idx="84">
                  <c:v>0.16157057372050279</c:v>
                </c:pt>
                <c:pt idx="85">
                  <c:v>0.16157057372050279</c:v>
                </c:pt>
                <c:pt idx="86">
                  <c:v>0.16157057372050279</c:v>
                </c:pt>
                <c:pt idx="87">
                  <c:v>0.16157057372050279</c:v>
                </c:pt>
                <c:pt idx="88">
                  <c:v>0.16157057372050279</c:v>
                </c:pt>
                <c:pt idx="89">
                  <c:v>0.16157057372050279</c:v>
                </c:pt>
                <c:pt idx="90">
                  <c:v>0.16157057372050279</c:v>
                </c:pt>
                <c:pt idx="91">
                  <c:v>0.16157057372050279</c:v>
                </c:pt>
                <c:pt idx="92">
                  <c:v>0.16157057372050279</c:v>
                </c:pt>
                <c:pt idx="93">
                  <c:v>0.16157057372050279</c:v>
                </c:pt>
                <c:pt idx="94">
                  <c:v>0.16157057372050279</c:v>
                </c:pt>
                <c:pt idx="95">
                  <c:v>0.16157057372050279</c:v>
                </c:pt>
                <c:pt idx="96">
                  <c:v>0.16157057372050279</c:v>
                </c:pt>
                <c:pt idx="97">
                  <c:v>0.16157057372050279</c:v>
                </c:pt>
                <c:pt idx="98">
                  <c:v>0.16157057372050279</c:v>
                </c:pt>
                <c:pt idx="99">
                  <c:v>0.16157057372050279</c:v>
                </c:pt>
                <c:pt idx="100">
                  <c:v>0.16157057372050279</c:v>
                </c:pt>
                <c:pt idx="101">
                  <c:v>0.16157057372050279</c:v>
                </c:pt>
                <c:pt idx="102">
                  <c:v>0.16157057372050279</c:v>
                </c:pt>
                <c:pt idx="103">
                  <c:v>0.16157057372050279</c:v>
                </c:pt>
                <c:pt idx="104">
                  <c:v>0.16157057372050279</c:v>
                </c:pt>
                <c:pt idx="105">
                  <c:v>0.16157057372050279</c:v>
                </c:pt>
                <c:pt idx="106">
                  <c:v>0.16157057372050279</c:v>
                </c:pt>
                <c:pt idx="107">
                  <c:v>0.16157057372050279</c:v>
                </c:pt>
                <c:pt idx="108">
                  <c:v>0.16157057372050279</c:v>
                </c:pt>
                <c:pt idx="109">
                  <c:v>0.16157057372050279</c:v>
                </c:pt>
                <c:pt idx="110">
                  <c:v>0.16157057372050279</c:v>
                </c:pt>
                <c:pt idx="111">
                  <c:v>0.16157057372050279</c:v>
                </c:pt>
                <c:pt idx="112">
                  <c:v>0.16157057372050279</c:v>
                </c:pt>
                <c:pt idx="113">
                  <c:v>0.16157057372050279</c:v>
                </c:pt>
                <c:pt idx="114">
                  <c:v>0.16157057372050279</c:v>
                </c:pt>
                <c:pt idx="115">
                  <c:v>0.16157057372050279</c:v>
                </c:pt>
                <c:pt idx="116">
                  <c:v>0.16157057372050279</c:v>
                </c:pt>
                <c:pt idx="117">
                  <c:v>0.16157057372050279</c:v>
                </c:pt>
                <c:pt idx="118">
                  <c:v>0.16157057372050279</c:v>
                </c:pt>
                <c:pt idx="119">
                  <c:v>0.16157057372050279</c:v>
                </c:pt>
                <c:pt idx="120">
                  <c:v>0.16157057372050279</c:v>
                </c:pt>
                <c:pt idx="121">
                  <c:v>0.16157057372050279</c:v>
                </c:pt>
                <c:pt idx="122">
                  <c:v>0.16157057372050279</c:v>
                </c:pt>
                <c:pt idx="123">
                  <c:v>0.16157057372050279</c:v>
                </c:pt>
                <c:pt idx="124">
                  <c:v>0.16157057372050279</c:v>
                </c:pt>
                <c:pt idx="125">
                  <c:v>0.16157057372050279</c:v>
                </c:pt>
                <c:pt idx="126">
                  <c:v>0.16157057372050279</c:v>
                </c:pt>
                <c:pt idx="127">
                  <c:v>0.16157057372050279</c:v>
                </c:pt>
                <c:pt idx="128">
                  <c:v>0.16157057372050279</c:v>
                </c:pt>
                <c:pt idx="129">
                  <c:v>0.16157057372050279</c:v>
                </c:pt>
                <c:pt idx="130">
                  <c:v>0.16157057372050279</c:v>
                </c:pt>
                <c:pt idx="131">
                  <c:v>0.16157057372050279</c:v>
                </c:pt>
                <c:pt idx="132">
                  <c:v>0.16157057372050279</c:v>
                </c:pt>
                <c:pt idx="133">
                  <c:v>0.16157057372050279</c:v>
                </c:pt>
                <c:pt idx="134">
                  <c:v>0.16157057372050279</c:v>
                </c:pt>
                <c:pt idx="135">
                  <c:v>0.16157057372050279</c:v>
                </c:pt>
                <c:pt idx="136">
                  <c:v>0.16157057372050279</c:v>
                </c:pt>
                <c:pt idx="137">
                  <c:v>0.16157057372050279</c:v>
                </c:pt>
                <c:pt idx="138">
                  <c:v>0.16157057372050279</c:v>
                </c:pt>
                <c:pt idx="139">
                  <c:v>0.16157057372050279</c:v>
                </c:pt>
                <c:pt idx="140">
                  <c:v>0.16157057372050279</c:v>
                </c:pt>
                <c:pt idx="141">
                  <c:v>0.16157057372050279</c:v>
                </c:pt>
                <c:pt idx="142">
                  <c:v>0.16157057372050279</c:v>
                </c:pt>
                <c:pt idx="143">
                  <c:v>0.16157057372050279</c:v>
                </c:pt>
                <c:pt idx="144">
                  <c:v>0.16157057372050279</c:v>
                </c:pt>
                <c:pt idx="145">
                  <c:v>0.16157057372050279</c:v>
                </c:pt>
                <c:pt idx="146">
                  <c:v>0.16157057372050279</c:v>
                </c:pt>
                <c:pt idx="147">
                  <c:v>0.16157057372050279</c:v>
                </c:pt>
                <c:pt idx="148">
                  <c:v>0.16157057372050279</c:v>
                </c:pt>
                <c:pt idx="149">
                  <c:v>0.16157057372050279</c:v>
                </c:pt>
                <c:pt idx="150">
                  <c:v>0.16157057372050279</c:v>
                </c:pt>
                <c:pt idx="151">
                  <c:v>0.16157057372050279</c:v>
                </c:pt>
                <c:pt idx="152">
                  <c:v>0.16157057372050279</c:v>
                </c:pt>
                <c:pt idx="153">
                  <c:v>0.16157057372050279</c:v>
                </c:pt>
                <c:pt idx="154">
                  <c:v>0.16157057372050279</c:v>
                </c:pt>
                <c:pt idx="155">
                  <c:v>0.16157057372050279</c:v>
                </c:pt>
                <c:pt idx="156">
                  <c:v>0.16157057372050279</c:v>
                </c:pt>
                <c:pt idx="157">
                  <c:v>0.16157057372050279</c:v>
                </c:pt>
                <c:pt idx="158">
                  <c:v>0.16157057372050279</c:v>
                </c:pt>
                <c:pt idx="159">
                  <c:v>0.16157057372050279</c:v>
                </c:pt>
                <c:pt idx="160">
                  <c:v>0.16157057372050279</c:v>
                </c:pt>
                <c:pt idx="161">
                  <c:v>0.16157057372050279</c:v>
                </c:pt>
                <c:pt idx="162">
                  <c:v>0.16157057372050279</c:v>
                </c:pt>
                <c:pt idx="163">
                  <c:v>0.16157057372050279</c:v>
                </c:pt>
                <c:pt idx="164">
                  <c:v>0.16157057372050279</c:v>
                </c:pt>
                <c:pt idx="165">
                  <c:v>0.16157057372050279</c:v>
                </c:pt>
                <c:pt idx="166">
                  <c:v>0.16157057372050279</c:v>
                </c:pt>
                <c:pt idx="167">
                  <c:v>0.16157057372050279</c:v>
                </c:pt>
                <c:pt idx="168">
                  <c:v>0.16157057372050279</c:v>
                </c:pt>
                <c:pt idx="169">
                  <c:v>0.16157057372050279</c:v>
                </c:pt>
                <c:pt idx="170">
                  <c:v>0.16157057372050279</c:v>
                </c:pt>
                <c:pt idx="171">
                  <c:v>0.16157057372050279</c:v>
                </c:pt>
                <c:pt idx="172">
                  <c:v>0.16157057372050279</c:v>
                </c:pt>
                <c:pt idx="173">
                  <c:v>0.16157057372050279</c:v>
                </c:pt>
                <c:pt idx="174">
                  <c:v>0.16157057372050279</c:v>
                </c:pt>
                <c:pt idx="175">
                  <c:v>0.16157057372050279</c:v>
                </c:pt>
                <c:pt idx="176">
                  <c:v>0.16157057372050279</c:v>
                </c:pt>
                <c:pt idx="177">
                  <c:v>0.16157057372050279</c:v>
                </c:pt>
                <c:pt idx="178">
                  <c:v>0.16157057372050279</c:v>
                </c:pt>
                <c:pt idx="179">
                  <c:v>0.16157057372050279</c:v>
                </c:pt>
                <c:pt idx="180">
                  <c:v>0.16157057372050279</c:v>
                </c:pt>
                <c:pt idx="181">
                  <c:v>0.16157057372050279</c:v>
                </c:pt>
                <c:pt idx="182">
                  <c:v>0.16157057372050279</c:v>
                </c:pt>
                <c:pt idx="183">
                  <c:v>0.16157057372050279</c:v>
                </c:pt>
                <c:pt idx="184">
                  <c:v>0.16157057372050279</c:v>
                </c:pt>
                <c:pt idx="185">
                  <c:v>0.16157057372050279</c:v>
                </c:pt>
                <c:pt idx="186">
                  <c:v>0.16157057372050279</c:v>
                </c:pt>
                <c:pt idx="187">
                  <c:v>0.16157057372050279</c:v>
                </c:pt>
                <c:pt idx="188">
                  <c:v>0.16157057372050279</c:v>
                </c:pt>
                <c:pt idx="189">
                  <c:v>0.16157057372050279</c:v>
                </c:pt>
                <c:pt idx="190">
                  <c:v>0.16157057372050279</c:v>
                </c:pt>
                <c:pt idx="191">
                  <c:v>0.16157057372050279</c:v>
                </c:pt>
                <c:pt idx="192">
                  <c:v>0.16157057372050279</c:v>
                </c:pt>
                <c:pt idx="193">
                  <c:v>0.16157057372050279</c:v>
                </c:pt>
                <c:pt idx="194">
                  <c:v>0.16157057372050279</c:v>
                </c:pt>
                <c:pt idx="195">
                  <c:v>0.16157057372050279</c:v>
                </c:pt>
                <c:pt idx="196">
                  <c:v>0.16157057372050279</c:v>
                </c:pt>
                <c:pt idx="197">
                  <c:v>0.16157057372050279</c:v>
                </c:pt>
                <c:pt idx="198">
                  <c:v>0.16157057372050279</c:v>
                </c:pt>
                <c:pt idx="199">
                  <c:v>0.16157057372050279</c:v>
                </c:pt>
                <c:pt idx="200">
                  <c:v>0.16157057372050279</c:v>
                </c:pt>
                <c:pt idx="201">
                  <c:v>0.16157057372050279</c:v>
                </c:pt>
                <c:pt idx="202">
                  <c:v>0.16157057372050279</c:v>
                </c:pt>
                <c:pt idx="203">
                  <c:v>0.16157057372050279</c:v>
                </c:pt>
                <c:pt idx="204">
                  <c:v>0.16157057372050279</c:v>
                </c:pt>
                <c:pt idx="205">
                  <c:v>0.16157057372050279</c:v>
                </c:pt>
                <c:pt idx="206">
                  <c:v>0.16157057372050279</c:v>
                </c:pt>
                <c:pt idx="207">
                  <c:v>0.16157057372050279</c:v>
                </c:pt>
                <c:pt idx="208">
                  <c:v>0.16157057372050279</c:v>
                </c:pt>
                <c:pt idx="209">
                  <c:v>0.16157057372050279</c:v>
                </c:pt>
                <c:pt idx="210">
                  <c:v>0.16157057372050279</c:v>
                </c:pt>
                <c:pt idx="211">
                  <c:v>0.16157057372050279</c:v>
                </c:pt>
                <c:pt idx="212">
                  <c:v>0.16157057372050279</c:v>
                </c:pt>
                <c:pt idx="213">
                  <c:v>0.16157057372050279</c:v>
                </c:pt>
                <c:pt idx="214">
                  <c:v>0.16157057372050279</c:v>
                </c:pt>
                <c:pt idx="215">
                  <c:v>0.16157057372050279</c:v>
                </c:pt>
                <c:pt idx="216">
                  <c:v>0.16157057372050279</c:v>
                </c:pt>
                <c:pt idx="217">
                  <c:v>0.16157057372050279</c:v>
                </c:pt>
                <c:pt idx="218">
                  <c:v>0.16157057372050279</c:v>
                </c:pt>
                <c:pt idx="219">
                  <c:v>0.16157057372050279</c:v>
                </c:pt>
                <c:pt idx="220">
                  <c:v>0.16157057372050279</c:v>
                </c:pt>
                <c:pt idx="221">
                  <c:v>0.16157057372050279</c:v>
                </c:pt>
                <c:pt idx="222">
                  <c:v>0.16157057372050279</c:v>
                </c:pt>
                <c:pt idx="223">
                  <c:v>0.16157057372050279</c:v>
                </c:pt>
                <c:pt idx="224">
                  <c:v>0.16157057372050279</c:v>
                </c:pt>
                <c:pt idx="225">
                  <c:v>0.16157057372050279</c:v>
                </c:pt>
                <c:pt idx="226">
                  <c:v>0.16157057372050279</c:v>
                </c:pt>
                <c:pt idx="227">
                  <c:v>0.16157057372050279</c:v>
                </c:pt>
                <c:pt idx="228">
                  <c:v>0.16157057372050279</c:v>
                </c:pt>
                <c:pt idx="229">
                  <c:v>0.16157057372050279</c:v>
                </c:pt>
                <c:pt idx="230">
                  <c:v>0.16157057372050279</c:v>
                </c:pt>
                <c:pt idx="231">
                  <c:v>0.16157057372050279</c:v>
                </c:pt>
                <c:pt idx="232">
                  <c:v>0.16157057372050279</c:v>
                </c:pt>
                <c:pt idx="233">
                  <c:v>0.16157057372050279</c:v>
                </c:pt>
                <c:pt idx="234">
                  <c:v>0.16157057372050279</c:v>
                </c:pt>
                <c:pt idx="235">
                  <c:v>0.16157057372050279</c:v>
                </c:pt>
                <c:pt idx="236">
                  <c:v>0.16157057372050279</c:v>
                </c:pt>
                <c:pt idx="237">
                  <c:v>0.16157057372050279</c:v>
                </c:pt>
                <c:pt idx="238">
                  <c:v>0.16157057372050279</c:v>
                </c:pt>
                <c:pt idx="239">
                  <c:v>0.16157057372050279</c:v>
                </c:pt>
                <c:pt idx="240">
                  <c:v>0.16157057372050279</c:v>
                </c:pt>
                <c:pt idx="241">
                  <c:v>0.16157057372050279</c:v>
                </c:pt>
                <c:pt idx="242">
                  <c:v>0.16157057372050279</c:v>
                </c:pt>
                <c:pt idx="243">
                  <c:v>0.16157057372050279</c:v>
                </c:pt>
                <c:pt idx="244">
                  <c:v>0.16157057372050279</c:v>
                </c:pt>
                <c:pt idx="245">
                  <c:v>0.16157057372050279</c:v>
                </c:pt>
                <c:pt idx="246">
                  <c:v>0.16157057372050279</c:v>
                </c:pt>
                <c:pt idx="247">
                  <c:v>0.16157057372050279</c:v>
                </c:pt>
                <c:pt idx="248">
                  <c:v>0.16157057372050279</c:v>
                </c:pt>
                <c:pt idx="249">
                  <c:v>0.16157057372050279</c:v>
                </c:pt>
                <c:pt idx="250">
                  <c:v>0.16157057372050279</c:v>
                </c:pt>
                <c:pt idx="251">
                  <c:v>0.16157057372050279</c:v>
                </c:pt>
                <c:pt idx="252">
                  <c:v>0.16157057372050279</c:v>
                </c:pt>
                <c:pt idx="253">
                  <c:v>0.16157057372050279</c:v>
                </c:pt>
                <c:pt idx="254">
                  <c:v>0.16157057372050279</c:v>
                </c:pt>
                <c:pt idx="255">
                  <c:v>0.16157057372050279</c:v>
                </c:pt>
                <c:pt idx="256">
                  <c:v>0.16157057372050279</c:v>
                </c:pt>
                <c:pt idx="257">
                  <c:v>0.16157057372050279</c:v>
                </c:pt>
                <c:pt idx="258">
                  <c:v>0.16157057372050279</c:v>
                </c:pt>
                <c:pt idx="259">
                  <c:v>0.16157057372050279</c:v>
                </c:pt>
                <c:pt idx="260">
                  <c:v>0.16157057372050279</c:v>
                </c:pt>
                <c:pt idx="261">
                  <c:v>0.16157057372050279</c:v>
                </c:pt>
                <c:pt idx="262">
                  <c:v>0.16157057372050279</c:v>
                </c:pt>
                <c:pt idx="263">
                  <c:v>0.16157057372050279</c:v>
                </c:pt>
                <c:pt idx="264">
                  <c:v>0.16157057372050279</c:v>
                </c:pt>
                <c:pt idx="265">
                  <c:v>0.16157057372050279</c:v>
                </c:pt>
                <c:pt idx="266">
                  <c:v>0.16157057372050279</c:v>
                </c:pt>
                <c:pt idx="267">
                  <c:v>0.16157057372050279</c:v>
                </c:pt>
                <c:pt idx="268">
                  <c:v>0.16157057372050279</c:v>
                </c:pt>
                <c:pt idx="269">
                  <c:v>0.16157057372050279</c:v>
                </c:pt>
                <c:pt idx="270">
                  <c:v>0.16157057372050279</c:v>
                </c:pt>
                <c:pt idx="271">
                  <c:v>0.16157057372050279</c:v>
                </c:pt>
                <c:pt idx="272">
                  <c:v>0.16157057372050279</c:v>
                </c:pt>
                <c:pt idx="273">
                  <c:v>0.16157057372050279</c:v>
                </c:pt>
                <c:pt idx="274">
                  <c:v>0.16157057372050279</c:v>
                </c:pt>
                <c:pt idx="275">
                  <c:v>0.16157057372050279</c:v>
                </c:pt>
                <c:pt idx="276">
                  <c:v>0.16157057372050279</c:v>
                </c:pt>
                <c:pt idx="277">
                  <c:v>0.16157057372050279</c:v>
                </c:pt>
                <c:pt idx="278">
                  <c:v>0.16157057372050279</c:v>
                </c:pt>
                <c:pt idx="279">
                  <c:v>0.16157057372050279</c:v>
                </c:pt>
                <c:pt idx="280">
                  <c:v>0.16157057372050279</c:v>
                </c:pt>
                <c:pt idx="281">
                  <c:v>0.16157057372050279</c:v>
                </c:pt>
                <c:pt idx="282">
                  <c:v>0.16157057372050279</c:v>
                </c:pt>
                <c:pt idx="283">
                  <c:v>0.16157057372050279</c:v>
                </c:pt>
                <c:pt idx="284">
                  <c:v>0.16157057372050279</c:v>
                </c:pt>
                <c:pt idx="285">
                  <c:v>0.16157057372050279</c:v>
                </c:pt>
                <c:pt idx="286">
                  <c:v>0.16157057372050279</c:v>
                </c:pt>
                <c:pt idx="287">
                  <c:v>0.16157057372050279</c:v>
                </c:pt>
                <c:pt idx="288">
                  <c:v>0.16157057372050279</c:v>
                </c:pt>
                <c:pt idx="289">
                  <c:v>0.16157057372050279</c:v>
                </c:pt>
                <c:pt idx="290">
                  <c:v>0.16157057372050279</c:v>
                </c:pt>
                <c:pt idx="291">
                  <c:v>0.16157057372050279</c:v>
                </c:pt>
                <c:pt idx="292">
                  <c:v>0.16157057372050279</c:v>
                </c:pt>
                <c:pt idx="293">
                  <c:v>0.16157057372050279</c:v>
                </c:pt>
                <c:pt idx="294">
                  <c:v>0.16157057372050279</c:v>
                </c:pt>
                <c:pt idx="295">
                  <c:v>0.16157057372050279</c:v>
                </c:pt>
                <c:pt idx="296">
                  <c:v>0.16157057372050279</c:v>
                </c:pt>
                <c:pt idx="297">
                  <c:v>0.16157057372050279</c:v>
                </c:pt>
                <c:pt idx="298">
                  <c:v>0.16157057372050279</c:v>
                </c:pt>
                <c:pt idx="299">
                  <c:v>0.16157057372050279</c:v>
                </c:pt>
                <c:pt idx="300">
                  <c:v>0.16157057372050279</c:v>
                </c:pt>
                <c:pt idx="301">
                  <c:v>0.16157057372050279</c:v>
                </c:pt>
                <c:pt idx="302">
                  <c:v>0.16157057372050279</c:v>
                </c:pt>
                <c:pt idx="303">
                  <c:v>0.16157057372050279</c:v>
                </c:pt>
                <c:pt idx="304">
                  <c:v>0.16157057372050279</c:v>
                </c:pt>
                <c:pt idx="305">
                  <c:v>0.16157057372050279</c:v>
                </c:pt>
                <c:pt idx="306">
                  <c:v>0.16157057372050279</c:v>
                </c:pt>
                <c:pt idx="307">
                  <c:v>0.16157057372050279</c:v>
                </c:pt>
                <c:pt idx="308">
                  <c:v>0.16157057372050279</c:v>
                </c:pt>
                <c:pt idx="309">
                  <c:v>0.16157057372050279</c:v>
                </c:pt>
                <c:pt idx="310">
                  <c:v>0.16157057372050279</c:v>
                </c:pt>
                <c:pt idx="311">
                  <c:v>0.16157057372050279</c:v>
                </c:pt>
                <c:pt idx="312">
                  <c:v>0.16157057372050279</c:v>
                </c:pt>
                <c:pt idx="313">
                  <c:v>0.16157057372050279</c:v>
                </c:pt>
                <c:pt idx="314">
                  <c:v>0.16157057372050279</c:v>
                </c:pt>
                <c:pt idx="315">
                  <c:v>0.16157057372050279</c:v>
                </c:pt>
                <c:pt idx="316">
                  <c:v>0.16157057372050279</c:v>
                </c:pt>
                <c:pt idx="317">
                  <c:v>0.16157057372050279</c:v>
                </c:pt>
                <c:pt idx="318">
                  <c:v>0.16157057372050279</c:v>
                </c:pt>
                <c:pt idx="319">
                  <c:v>0.16157057372050279</c:v>
                </c:pt>
                <c:pt idx="320">
                  <c:v>0.16157057372050279</c:v>
                </c:pt>
                <c:pt idx="321">
                  <c:v>0.16157057372050279</c:v>
                </c:pt>
                <c:pt idx="322">
                  <c:v>0.16157057372050279</c:v>
                </c:pt>
                <c:pt idx="323">
                  <c:v>0.16157057372050279</c:v>
                </c:pt>
                <c:pt idx="324">
                  <c:v>0.16157057372050279</c:v>
                </c:pt>
                <c:pt idx="325">
                  <c:v>0.16157057372050279</c:v>
                </c:pt>
                <c:pt idx="326">
                  <c:v>0.16157057372050279</c:v>
                </c:pt>
                <c:pt idx="327">
                  <c:v>0.16157057372050279</c:v>
                </c:pt>
                <c:pt idx="328">
                  <c:v>0.16157057372050279</c:v>
                </c:pt>
                <c:pt idx="329">
                  <c:v>0.16157057372050279</c:v>
                </c:pt>
                <c:pt idx="330">
                  <c:v>0.16157057372050279</c:v>
                </c:pt>
                <c:pt idx="331">
                  <c:v>0.16157057372050279</c:v>
                </c:pt>
                <c:pt idx="332">
                  <c:v>0.16157057372050279</c:v>
                </c:pt>
                <c:pt idx="333">
                  <c:v>0.16157057372050279</c:v>
                </c:pt>
                <c:pt idx="334">
                  <c:v>0.16157057372050279</c:v>
                </c:pt>
                <c:pt idx="335">
                  <c:v>0.16157057372050279</c:v>
                </c:pt>
                <c:pt idx="336">
                  <c:v>0.16157057372050279</c:v>
                </c:pt>
                <c:pt idx="337">
                  <c:v>0.16157057372050279</c:v>
                </c:pt>
                <c:pt idx="338">
                  <c:v>0.16157057372050279</c:v>
                </c:pt>
                <c:pt idx="339">
                  <c:v>0.16157057372050279</c:v>
                </c:pt>
                <c:pt idx="340">
                  <c:v>0.16157057372050279</c:v>
                </c:pt>
                <c:pt idx="341">
                  <c:v>0.16157057372050279</c:v>
                </c:pt>
                <c:pt idx="342">
                  <c:v>0.16157057372050279</c:v>
                </c:pt>
                <c:pt idx="343">
                  <c:v>0.16157057372050279</c:v>
                </c:pt>
                <c:pt idx="344">
                  <c:v>0.16157057372050279</c:v>
                </c:pt>
                <c:pt idx="345">
                  <c:v>0.16157057372050279</c:v>
                </c:pt>
                <c:pt idx="346">
                  <c:v>0.16157057372050279</c:v>
                </c:pt>
                <c:pt idx="347">
                  <c:v>0.16157057372050279</c:v>
                </c:pt>
                <c:pt idx="348">
                  <c:v>0.16157057372050279</c:v>
                </c:pt>
                <c:pt idx="349">
                  <c:v>0.16157057372050279</c:v>
                </c:pt>
                <c:pt idx="350">
                  <c:v>0.16157057372050279</c:v>
                </c:pt>
                <c:pt idx="351">
                  <c:v>0.16157057372050279</c:v>
                </c:pt>
                <c:pt idx="352">
                  <c:v>0.16157057372050279</c:v>
                </c:pt>
                <c:pt idx="353">
                  <c:v>0.16157057372050279</c:v>
                </c:pt>
                <c:pt idx="354">
                  <c:v>0.16157057372050279</c:v>
                </c:pt>
                <c:pt idx="355">
                  <c:v>0.16157057372050279</c:v>
                </c:pt>
                <c:pt idx="356">
                  <c:v>0.16157057372050279</c:v>
                </c:pt>
                <c:pt idx="357">
                  <c:v>0.16157057372050279</c:v>
                </c:pt>
                <c:pt idx="358">
                  <c:v>0.16157057372050279</c:v>
                </c:pt>
                <c:pt idx="359">
                  <c:v>0.16157057372050279</c:v>
                </c:pt>
                <c:pt idx="360">
                  <c:v>0.16157057372050279</c:v>
                </c:pt>
                <c:pt idx="361">
                  <c:v>0.16157057372050279</c:v>
                </c:pt>
                <c:pt idx="362">
                  <c:v>0.16157057372050279</c:v>
                </c:pt>
                <c:pt idx="363">
                  <c:v>0.16157057372050279</c:v>
                </c:pt>
                <c:pt idx="364">
                  <c:v>0.16157057372050279</c:v>
                </c:pt>
                <c:pt idx="365">
                  <c:v>0.16157057372050279</c:v>
                </c:pt>
                <c:pt idx="366">
                  <c:v>0.16157057372050279</c:v>
                </c:pt>
                <c:pt idx="367">
                  <c:v>0.16157057372050279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68-4865-82E4-BB525CA4F74C}"/>
            </c:ext>
          </c:extLst>
        </c:ser>
        <c:ser>
          <c:idx val="3"/>
          <c:order val="3"/>
          <c:tx>
            <c:v>LCL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'Raw Data'!$B$7:$B$374</c:f>
              <c:numCache>
                <c:formatCode>mmm\-yy</c:formatCode>
                <c:ptCount val="368"/>
                <c:pt idx="0">
                  <c:v>42583</c:v>
                </c:pt>
                <c:pt idx="1">
                  <c:v>42552</c:v>
                </c:pt>
                <c:pt idx="2">
                  <c:v>42523</c:v>
                </c:pt>
                <c:pt idx="3">
                  <c:v>42493</c:v>
                </c:pt>
                <c:pt idx="4">
                  <c:v>42461</c:v>
                </c:pt>
                <c:pt idx="5">
                  <c:v>42430</c:v>
                </c:pt>
                <c:pt idx="6">
                  <c:v>42401</c:v>
                </c:pt>
                <c:pt idx="7">
                  <c:v>42374</c:v>
                </c:pt>
                <c:pt idx="8">
                  <c:v>42339</c:v>
                </c:pt>
                <c:pt idx="9">
                  <c:v>42310</c:v>
                </c:pt>
                <c:pt idx="10">
                  <c:v>42279</c:v>
                </c:pt>
                <c:pt idx="11">
                  <c:v>42248</c:v>
                </c:pt>
                <c:pt idx="12">
                  <c:v>42219</c:v>
                </c:pt>
                <c:pt idx="13">
                  <c:v>42186</c:v>
                </c:pt>
                <c:pt idx="14">
                  <c:v>42156</c:v>
                </c:pt>
                <c:pt idx="15">
                  <c:v>42125</c:v>
                </c:pt>
                <c:pt idx="16">
                  <c:v>42095</c:v>
                </c:pt>
                <c:pt idx="17">
                  <c:v>42065</c:v>
                </c:pt>
                <c:pt idx="18">
                  <c:v>42037</c:v>
                </c:pt>
                <c:pt idx="19">
                  <c:v>42006</c:v>
                </c:pt>
                <c:pt idx="20">
                  <c:v>41974</c:v>
                </c:pt>
                <c:pt idx="21">
                  <c:v>41946</c:v>
                </c:pt>
                <c:pt idx="22">
                  <c:v>41913</c:v>
                </c:pt>
                <c:pt idx="23">
                  <c:v>41883</c:v>
                </c:pt>
                <c:pt idx="24">
                  <c:v>41852</c:v>
                </c:pt>
                <c:pt idx="25">
                  <c:v>41821</c:v>
                </c:pt>
                <c:pt idx="26">
                  <c:v>41792</c:v>
                </c:pt>
                <c:pt idx="27">
                  <c:v>41760</c:v>
                </c:pt>
                <c:pt idx="28">
                  <c:v>41730</c:v>
                </c:pt>
                <c:pt idx="29">
                  <c:v>41701</c:v>
                </c:pt>
                <c:pt idx="30">
                  <c:v>41673</c:v>
                </c:pt>
                <c:pt idx="31">
                  <c:v>41641</c:v>
                </c:pt>
                <c:pt idx="32">
                  <c:v>41610</c:v>
                </c:pt>
                <c:pt idx="33">
                  <c:v>41579</c:v>
                </c:pt>
                <c:pt idx="34">
                  <c:v>41548</c:v>
                </c:pt>
                <c:pt idx="35">
                  <c:v>41519</c:v>
                </c:pt>
                <c:pt idx="36">
                  <c:v>41487</c:v>
                </c:pt>
                <c:pt idx="37">
                  <c:v>41456</c:v>
                </c:pt>
                <c:pt idx="38">
                  <c:v>41428</c:v>
                </c:pt>
                <c:pt idx="39">
                  <c:v>41395</c:v>
                </c:pt>
                <c:pt idx="40">
                  <c:v>41366</c:v>
                </c:pt>
                <c:pt idx="41">
                  <c:v>41334</c:v>
                </c:pt>
                <c:pt idx="42">
                  <c:v>41306</c:v>
                </c:pt>
                <c:pt idx="43">
                  <c:v>41276</c:v>
                </c:pt>
                <c:pt idx="44">
                  <c:v>41246</c:v>
                </c:pt>
                <c:pt idx="45">
                  <c:v>41214</c:v>
                </c:pt>
                <c:pt idx="46">
                  <c:v>41183</c:v>
                </c:pt>
                <c:pt idx="47">
                  <c:v>41155</c:v>
                </c:pt>
                <c:pt idx="48">
                  <c:v>41122</c:v>
                </c:pt>
                <c:pt idx="49">
                  <c:v>41092</c:v>
                </c:pt>
                <c:pt idx="50">
                  <c:v>41061</c:v>
                </c:pt>
                <c:pt idx="51">
                  <c:v>41030</c:v>
                </c:pt>
                <c:pt idx="52">
                  <c:v>41001</c:v>
                </c:pt>
                <c:pt idx="53">
                  <c:v>40969</c:v>
                </c:pt>
                <c:pt idx="54">
                  <c:v>40940</c:v>
                </c:pt>
                <c:pt idx="55">
                  <c:v>40911</c:v>
                </c:pt>
                <c:pt idx="56">
                  <c:v>40878</c:v>
                </c:pt>
                <c:pt idx="57">
                  <c:v>40848</c:v>
                </c:pt>
                <c:pt idx="58">
                  <c:v>40819</c:v>
                </c:pt>
                <c:pt idx="59">
                  <c:v>40787</c:v>
                </c:pt>
                <c:pt idx="60">
                  <c:v>40756</c:v>
                </c:pt>
                <c:pt idx="61">
                  <c:v>40725</c:v>
                </c:pt>
                <c:pt idx="62">
                  <c:v>40695</c:v>
                </c:pt>
                <c:pt idx="63">
                  <c:v>40666</c:v>
                </c:pt>
                <c:pt idx="64">
                  <c:v>40634</c:v>
                </c:pt>
                <c:pt idx="65">
                  <c:v>40603</c:v>
                </c:pt>
                <c:pt idx="66">
                  <c:v>40575</c:v>
                </c:pt>
                <c:pt idx="67">
                  <c:v>40547</c:v>
                </c:pt>
                <c:pt idx="68">
                  <c:v>40513</c:v>
                </c:pt>
                <c:pt idx="69">
                  <c:v>40483</c:v>
                </c:pt>
                <c:pt idx="70">
                  <c:v>40452</c:v>
                </c:pt>
                <c:pt idx="71">
                  <c:v>40422</c:v>
                </c:pt>
                <c:pt idx="72">
                  <c:v>40392</c:v>
                </c:pt>
                <c:pt idx="73">
                  <c:v>40360</c:v>
                </c:pt>
                <c:pt idx="74">
                  <c:v>40330</c:v>
                </c:pt>
                <c:pt idx="75">
                  <c:v>40302</c:v>
                </c:pt>
                <c:pt idx="76">
                  <c:v>40269</c:v>
                </c:pt>
                <c:pt idx="77">
                  <c:v>40238</c:v>
                </c:pt>
                <c:pt idx="78">
                  <c:v>40210</c:v>
                </c:pt>
                <c:pt idx="79">
                  <c:v>40182</c:v>
                </c:pt>
                <c:pt idx="80">
                  <c:v>40148</c:v>
                </c:pt>
                <c:pt idx="81">
                  <c:v>40119</c:v>
                </c:pt>
                <c:pt idx="82">
                  <c:v>40087</c:v>
                </c:pt>
                <c:pt idx="83">
                  <c:v>40057</c:v>
                </c:pt>
                <c:pt idx="84">
                  <c:v>40028</c:v>
                </c:pt>
                <c:pt idx="85">
                  <c:v>39995</c:v>
                </c:pt>
                <c:pt idx="86">
                  <c:v>39965</c:v>
                </c:pt>
                <c:pt idx="87">
                  <c:v>39934</c:v>
                </c:pt>
                <c:pt idx="88">
                  <c:v>39904</c:v>
                </c:pt>
                <c:pt idx="89">
                  <c:v>39874</c:v>
                </c:pt>
                <c:pt idx="90">
                  <c:v>39846</c:v>
                </c:pt>
                <c:pt idx="91">
                  <c:v>39815</c:v>
                </c:pt>
                <c:pt idx="92">
                  <c:v>39783</c:v>
                </c:pt>
                <c:pt idx="93">
                  <c:v>39755</c:v>
                </c:pt>
                <c:pt idx="94">
                  <c:v>39722</c:v>
                </c:pt>
                <c:pt idx="95">
                  <c:v>39692</c:v>
                </c:pt>
                <c:pt idx="96">
                  <c:v>39661</c:v>
                </c:pt>
                <c:pt idx="97">
                  <c:v>39630</c:v>
                </c:pt>
                <c:pt idx="98">
                  <c:v>39601</c:v>
                </c:pt>
                <c:pt idx="99">
                  <c:v>39569</c:v>
                </c:pt>
                <c:pt idx="100">
                  <c:v>39539</c:v>
                </c:pt>
                <c:pt idx="101">
                  <c:v>39510</c:v>
                </c:pt>
                <c:pt idx="102">
                  <c:v>39479</c:v>
                </c:pt>
                <c:pt idx="103">
                  <c:v>39449</c:v>
                </c:pt>
                <c:pt idx="104">
                  <c:v>39419</c:v>
                </c:pt>
                <c:pt idx="105">
                  <c:v>39387</c:v>
                </c:pt>
                <c:pt idx="106">
                  <c:v>39356</c:v>
                </c:pt>
                <c:pt idx="107">
                  <c:v>39328</c:v>
                </c:pt>
                <c:pt idx="108">
                  <c:v>39295</c:v>
                </c:pt>
                <c:pt idx="109">
                  <c:v>39265</c:v>
                </c:pt>
                <c:pt idx="110">
                  <c:v>39234</c:v>
                </c:pt>
                <c:pt idx="111">
                  <c:v>39203</c:v>
                </c:pt>
                <c:pt idx="112">
                  <c:v>39174</c:v>
                </c:pt>
                <c:pt idx="113">
                  <c:v>39142</c:v>
                </c:pt>
                <c:pt idx="114">
                  <c:v>39114</c:v>
                </c:pt>
                <c:pt idx="115">
                  <c:v>39084</c:v>
                </c:pt>
                <c:pt idx="116">
                  <c:v>39052</c:v>
                </c:pt>
                <c:pt idx="117">
                  <c:v>39022</c:v>
                </c:pt>
                <c:pt idx="118">
                  <c:v>38992</c:v>
                </c:pt>
                <c:pt idx="119">
                  <c:v>38961</c:v>
                </c:pt>
                <c:pt idx="120">
                  <c:v>38930</c:v>
                </c:pt>
                <c:pt idx="121">
                  <c:v>38901</c:v>
                </c:pt>
                <c:pt idx="122">
                  <c:v>38869</c:v>
                </c:pt>
                <c:pt idx="123">
                  <c:v>38839</c:v>
                </c:pt>
                <c:pt idx="124">
                  <c:v>38810</c:v>
                </c:pt>
                <c:pt idx="125">
                  <c:v>38777</c:v>
                </c:pt>
                <c:pt idx="126">
                  <c:v>38749</c:v>
                </c:pt>
                <c:pt idx="127">
                  <c:v>38720</c:v>
                </c:pt>
                <c:pt idx="128">
                  <c:v>38687</c:v>
                </c:pt>
                <c:pt idx="129">
                  <c:v>38657</c:v>
                </c:pt>
                <c:pt idx="130">
                  <c:v>38628</c:v>
                </c:pt>
                <c:pt idx="131">
                  <c:v>38596</c:v>
                </c:pt>
                <c:pt idx="132">
                  <c:v>38565</c:v>
                </c:pt>
                <c:pt idx="133">
                  <c:v>38534</c:v>
                </c:pt>
                <c:pt idx="134">
                  <c:v>38504</c:v>
                </c:pt>
                <c:pt idx="135">
                  <c:v>38475</c:v>
                </c:pt>
                <c:pt idx="136">
                  <c:v>38443</c:v>
                </c:pt>
                <c:pt idx="137">
                  <c:v>38412</c:v>
                </c:pt>
                <c:pt idx="138">
                  <c:v>38384</c:v>
                </c:pt>
                <c:pt idx="139">
                  <c:v>38356</c:v>
                </c:pt>
                <c:pt idx="140">
                  <c:v>38322</c:v>
                </c:pt>
                <c:pt idx="141">
                  <c:v>38292</c:v>
                </c:pt>
                <c:pt idx="142">
                  <c:v>38261</c:v>
                </c:pt>
                <c:pt idx="143">
                  <c:v>38231</c:v>
                </c:pt>
                <c:pt idx="144">
                  <c:v>38201</c:v>
                </c:pt>
                <c:pt idx="145">
                  <c:v>38169</c:v>
                </c:pt>
                <c:pt idx="146">
                  <c:v>38139</c:v>
                </c:pt>
                <c:pt idx="147">
                  <c:v>38111</c:v>
                </c:pt>
                <c:pt idx="148">
                  <c:v>38078</c:v>
                </c:pt>
                <c:pt idx="149">
                  <c:v>38047</c:v>
                </c:pt>
                <c:pt idx="150">
                  <c:v>38019</c:v>
                </c:pt>
                <c:pt idx="151">
                  <c:v>37988</c:v>
                </c:pt>
                <c:pt idx="152">
                  <c:v>37956</c:v>
                </c:pt>
                <c:pt idx="153">
                  <c:v>37928</c:v>
                </c:pt>
                <c:pt idx="154">
                  <c:v>37895</c:v>
                </c:pt>
                <c:pt idx="155">
                  <c:v>37865</c:v>
                </c:pt>
                <c:pt idx="156">
                  <c:v>37834</c:v>
                </c:pt>
                <c:pt idx="157">
                  <c:v>37803</c:v>
                </c:pt>
                <c:pt idx="158">
                  <c:v>37774</c:v>
                </c:pt>
                <c:pt idx="159">
                  <c:v>37742</c:v>
                </c:pt>
                <c:pt idx="160">
                  <c:v>37712</c:v>
                </c:pt>
                <c:pt idx="161">
                  <c:v>37683</c:v>
                </c:pt>
                <c:pt idx="162">
                  <c:v>37655</c:v>
                </c:pt>
                <c:pt idx="163">
                  <c:v>37623</c:v>
                </c:pt>
                <c:pt idx="164">
                  <c:v>37592</c:v>
                </c:pt>
                <c:pt idx="165">
                  <c:v>37561</c:v>
                </c:pt>
                <c:pt idx="166">
                  <c:v>37530</c:v>
                </c:pt>
                <c:pt idx="167">
                  <c:v>37501</c:v>
                </c:pt>
                <c:pt idx="168">
                  <c:v>37469</c:v>
                </c:pt>
                <c:pt idx="169">
                  <c:v>37438</c:v>
                </c:pt>
                <c:pt idx="170">
                  <c:v>37412</c:v>
                </c:pt>
                <c:pt idx="171">
                  <c:v>37377</c:v>
                </c:pt>
                <c:pt idx="172">
                  <c:v>37348</c:v>
                </c:pt>
                <c:pt idx="173">
                  <c:v>37316</c:v>
                </c:pt>
                <c:pt idx="174">
                  <c:v>37288</c:v>
                </c:pt>
                <c:pt idx="175">
                  <c:v>37258</c:v>
                </c:pt>
                <c:pt idx="176">
                  <c:v>37228</c:v>
                </c:pt>
                <c:pt idx="177">
                  <c:v>37196</c:v>
                </c:pt>
                <c:pt idx="178">
                  <c:v>37165</c:v>
                </c:pt>
                <c:pt idx="179">
                  <c:v>37137</c:v>
                </c:pt>
                <c:pt idx="180">
                  <c:v>37104</c:v>
                </c:pt>
                <c:pt idx="181">
                  <c:v>37074</c:v>
                </c:pt>
                <c:pt idx="182">
                  <c:v>37043</c:v>
                </c:pt>
                <c:pt idx="183">
                  <c:v>37012</c:v>
                </c:pt>
                <c:pt idx="184">
                  <c:v>36983</c:v>
                </c:pt>
                <c:pt idx="185">
                  <c:v>36951</c:v>
                </c:pt>
                <c:pt idx="186">
                  <c:v>36923</c:v>
                </c:pt>
                <c:pt idx="187">
                  <c:v>36893</c:v>
                </c:pt>
                <c:pt idx="188">
                  <c:v>36861</c:v>
                </c:pt>
                <c:pt idx="189">
                  <c:v>36831</c:v>
                </c:pt>
                <c:pt idx="190">
                  <c:v>36801</c:v>
                </c:pt>
                <c:pt idx="191">
                  <c:v>36770</c:v>
                </c:pt>
                <c:pt idx="192">
                  <c:v>36739</c:v>
                </c:pt>
                <c:pt idx="193">
                  <c:v>36710</c:v>
                </c:pt>
                <c:pt idx="194">
                  <c:v>36678</c:v>
                </c:pt>
                <c:pt idx="195">
                  <c:v>36648</c:v>
                </c:pt>
                <c:pt idx="196">
                  <c:v>36619</c:v>
                </c:pt>
                <c:pt idx="197">
                  <c:v>36586</c:v>
                </c:pt>
                <c:pt idx="198">
                  <c:v>36557</c:v>
                </c:pt>
                <c:pt idx="199">
                  <c:v>36529</c:v>
                </c:pt>
                <c:pt idx="200">
                  <c:v>36495</c:v>
                </c:pt>
                <c:pt idx="201">
                  <c:v>36465</c:v>
                </c:pt>
                <c:pt idx="202">
                  <c:v>36434</c:v>
                </c:pt>
                <c:pt idx="203">
                  <c:v>36404</c:v>
                </c:pt>
                <c:pt idx="204">
                  <c:v>36374</c:v>
                </c:pt>
                <c:pt idx="205">
                  <c:v>36342</c:v>
                </c:pt>
                <c:pt idx="206">
                  <c:v>36312</c:v>
                </c:pt>
                <c:pt idx="207">
                  <c:v>36284</c:v>
                </c:pt>
                <c:pt idx="208">
                  <c:v>36251</c:v>
                </c:pt>
                <c:pt idx="209">
                  <c:v>36220</c:v>
                </c:pt>
                <c:pt idx="210">
                  <c:v>36192</c:v>
                </c:pt>
                <c:pt idx="211">
                  <c:v>36161</c:v>
                </c:pt>
                <c:pt idx="212">
                  <c:v>36130</c:v>
                </c:pt>
                <c:pt idx="213">
                  <c:v>36101</c:v>
                </c:pt>
                <c:pt idx="214">
                  <c:v>36069</c:v>
                </c:pt>
                <c:pt idx="215">
                  <c:v>36039</c:v>
                </c:pt>
                <c:pt idx="216">
                  <c:v>36010</c:v>
                </c:pt>
                <c:pt idx="217">
                  <c:v>35977</c:v>
                </c:pt>
                <c:pt idx="218">
                  <c:v>35947</c:v>
                </c:pt>
                <c:pt idx="219">
                  <c:v>35916</c:v>
                </c:pt>
                <c:pt idx="220">
                  <c:v>35886</c:v>
                </c:pt>
                <c:pt idx="221">
                  <c:v>35856</c:v>
                </c:pt>
                <c:pt idx="222">
                  <c:v>35828</c:v>
                </c:pt>
                <c:pt idx="223">
                  <c:v>35796</c:v>
                </c:pt>
                <c:pt idx="224">
                  <c:v>35765</c:v>
                </c:pt>
                <c:pt idx="225">
                  <c:v>35737</c:v>
                </c:pt>
                <c:pt idx="226">
                  <c:v>35704</c:v>
                </c:pt>
                <c:pt idx="227">
                  <c:v>35674</c:v>
                </c:pt>
                <c:pt idx="228">
                  <c:v>35643</c:v>
                </c:pt>
                <c:pt idx="229">
                  <c:v>35612</c:v>
                </c:pt>
                <c:pt idx="230">
                  <c:v>35583</c:v>
                </c:pt>
                <c:pt idx="231">
                  <c:v>35551</c:v>
                </c:pt>
                <c:pt idx="232">
                  <c:v>35521</c:v>
                </c:pt>
                <c:pt idx="233">
                  <c:v>35492</c:v>
                </c:pt>
                <c:pt idx="234">
                  <c:v>35464</c:v>
                </c:pt>
                <c:pt idx="235">
                  <c:v>35431</c:v>
                </c:pt>
                <c:pt idx="236">
                  <c:v>35401</c:v>
                </c:pt>
                <c:pt idx="237">
                  <c:v>35370</c:v>
                </c:pt>
                <c:pt idx="238">
                  <c:v>35339</c:v>
                </c:pt>
                <c:pt idx="239">
                  <c:v>35310</c:v>
                </c:pt>
                <c:pt idx="240">
                  <c:v>35278</c:v>
                </c:pt>
                <c:pt idx="241">
                  <c:v>35247</c:v>
                </c:pt>
                <c:pt idx="242">
                  <c:v>35219</c:v>
                </c:pt>
                <c:pt idx="243">
                  <c:v>35186</c:v>
                </c:pt>
                <c:pt idx="244">
                  <c:v>35156</c:v>
                </c:pt>
                <c:pt idx="245">
                  <c:v>35125</c:v>
                </c:pt>
                <c:pt idx="246">
                  <c:v>35096</c:v>
                </c:pt>
                <c:pt idx="247">
                  <c:v>35065</c:v>
                </c:pt>
                <c:pt idx="248">
                  <c:v>35034</c:v>
                </c:pt>
                <c:pt idx="249">
                  <c:v>35004</c:v>
                </c:pt>
                <c:pt idx="250">
                  <c:v>34974</c:v>
                </c:pt>
                <c:pt idx="251">
                  <c:v>34943</c:v>
                </c:pt>
                <c:pt idx="252">
                  <c:v>34912</c:v>
                </c:pt>
                <c:pt idx="253">
                  <c:v>34883</c:v>
                </c:pt>
                <c:pt idx="254">
                  <c:v>34851</c:v>
                </c:pt>
                <c:pt idx="255">
                  <c:v>34820</c:v>
                </c:pt>
                <c:pt idx="256">
                  <c:v>34792</c:v>
                </c:pt>
                <c:pt idx="257">
                  <c:v>34759</c:v>
                </c:pt>
                <c:pt idx="258">
                  <c:v>34731</c:v>
                </c:pt>
                <c:pt idx="259">
                  <c:v>34701</c:v>
                </c:pt>
                <c:pt idx="260">
                  <c:v>34669</c:v>
                </c:pt>
                <c:pt idx="261">
                  <c:v>34639</c:v>
                </c:pt>
                <c:pt idx="262">
                  <c:v>34610</c:v>
                </c:pt>
                <c:pt idx="263">
                  <c:v>34578</c:v>
                </c:pt>
                <c:pt idx="264">
                  <c:v>34547</c:v>
                </c:pt>
                <c:pt idx="265">
                  <c:v>34516</c:v>
                </c:pt>
                <c:pt idx="266">
                  <c:v>34486</c:v>
                </c:pt>
                <c:pt idx="267">
                  <c:v>34456</c:v>
                </c:pt>
                <c:pt idx="268">
                  <c:v>34425</c:v>
                </c:pt>
                <c:pt idx="269">
                  <c:v>34394</c:v>
                </c:pt>
                <c:pt idx="270">
                  <c:v>34366</c:v>
                </c:pt>
                <c:pt idx="271">
                  <c:v>34337</c:v>
                </c:pt>
                <c:pt idx="272">
                  <c:v>34304</c:v>
                </c:pt>
                <c:pt idx="273">
                  <c:v>34274</c:v>
                </c:pt>
                <c:pt idx="274">
                  <c:v>34243</c:v>
                </c:pt>
                <c:pt idx="275">
                  <c:v>34213</c:v>
                </c:pt>
                <c:pt idx="276">
                  <c:v>34183</c:v>
                </c:pt>
                <c:pt idx="277">
                  <c:v>34151</c:v>
                </c:pt>
                <c:pt idx="278">
                  <c:v>34121</c:v>
                </c:pt>
                <c:pt idx="279">
                  <c:v>34092</c:v>
                </c:pt>
                <c:pt idx="280">
                  <c:v>34060</c:v>
                </c:pt>
                <c:pt idx="281">
                  <c:v>34029</c:v>
                </c:pt>
                <c:pt idx="282">
                  <c:v>34001</c:v>
                </c:pt>
                <c:pt idx="283">
                  <c:v>33970</c:v>
                </c:pt>
                <c:pt idx="284">
                  <c:v>33939</c:v>
                </c:pt>
                <c:pt idx="285">
                  <c:v>33910</c:v>
                </c:pt>
                <c:pt idx="286">
                  <c:v>33878</c:v>
                </c:pt>
                <c:pt idx="287">
                  <c:v>33848</c:v>
                </c:pt>
                <c:pt idx="288">
                  <c:v>33819</c:v>
                </c:pt>
                <c:pt idx="289">
                  <c:v>33786</c:v>
                </c:pt>
                <c:pt idx="290">
                  <c:v>33756</c:v>
                </c:pt>
                <c:pt idx="291">
                  <c:v>33725</c:v>
                </c:pt>
                <c:pt idx="292">
                  <c:v>33695</c:v>
                </c:pt>
                <c:pt idx="293">
                  <c:v>33665</c:v>
                </c:pt>
                <c:pt idx="294">
                  <c:v>33637</c:v>
                </c:pt>
                <c:pt idx="295">
                  <c:v>33604</c:v>
                </c:pt>
                <c:pt idx="296">
                  <c:v>33574</c:v>
                </c:pt>
                <c:pt idx="297">
                  <c:v>33543</c:v>
                </c:pt>
                <c:pt idx="298">
                  <c:v>33512</c:v>
                </c:pt>
                <c:pt idx="299">
                  <c:v>33483</c:v>
                </c:pt>
                <c:pt idx="300">
                  <c:v>33451</c:v>
                </c:pt>
                <c:pt idx="301">
                  <c:v>33420</c:v>
                </c:pt>
                <c:pt idx="302">
                  <c:v>33392</c:v>
                </c:pt>
                <c:pt idx="303">
                  <c:v>33359</c:v>
                </c:pt>
                <c:pt idx="304">
                  <c:v>33329</c:v>
                </c:pt>
                <c:pt idx="305">
                  <c:v>33298</c:v>
                </c:pt>
                <c:pt idx="306">
                  <c:v>33270</c:v>
                </c:pt>
                <c:pt idx="307">
                  <c:v>33239</c:v>
                </c:pt>
                <c:pt idx="308">
                  <c:v>33210</c:v>
                </c:pt>
                <c:pt idx="309">
                  <c:v>33178</c:v>
                </c:pt>
                <c:pt idx="310">
                  <c:v>33147</c:v>
                </c:pt>
                <c:pt idx="311">
                  <c:v>33119</c:v>
                </c:pt>
                <c:pt idx="312">
                  <c:v>33086</c:v>
                </c:pt>
                <c:pt idx="313">
                  <c:v>33056</c:v>
                </c:pt>
                <c:pt idx="314">
                  <c:v>33025</c:v>
                </c:pt>
                <c:pt idx="315">
                  <c:v>32994</c:v>
                </c:pt>
                <c:pt idx="316">
                  <c:v>32965</c:v>
                </c:pt>
                <c:pt idx="317">
                  <c:v>32933</c:v>
                </c:pt>
                <c:pt idx="318">
                  <c:v>32905</c:v>
                </c:pt>
                <c:pt idx="319">
                  <c:v>32874</c:v>
                </c:pt>
                <c:pt idx="320">
                  <c:v>32843</c:v>
                </c:pt>
                <c:pt idx="321">
                  <c:v>32813</c:v>
                </c:pt>
                <c:pt idx="322">
                  <c:v>32783</c:v>
                </c:pt>
                <c:pt idx="323">
                  <c:v>32752</c:v>
                </c:pt>
                <c:pt idx="324">
                  <c:v>32721</c:v>
                </c:pt>
                <c:pt idx="325">
                  <c:v>32692</c:v>
                </c:pt>
                <c:pt idx="326">
                  <c:v>32660</c:v>
                </c:pt>
                <c:pt idx="327">
                  <c:v>32629</c:v>
                </c:pt>
                <c:pt idx="328">
                  <c:v>32601</c:v>
                </c:pt>
                <c:pt idx="329">
                  <c:v>32568</c:v>
                </c:pt>
                <c:pt idx="330">
                  <c:v>32540</c:v>
                </c:pt>
                <c:pt idx="331">
                  <c:v>32510</c:v>
                </c:pt>
                <c:pt idx="332">
                  <c:v>32478</c:v>
                </c:pt>
                <c:pt idx="333">
                  <c:v>32448</c:v>
                </c:pt>
                <c:pt idx="334">
                  <c:v>32419</c:v>
                </c:pt>
                <c:pt idx="335">
                  <c:v>32387</c:v>
                </c:pt>
                <c:pt idx="336">
                  <c:v>32356</c:v>
                </c:pt>
                <c:pt idx="337">
                  <c:v>32325</c:v>
                </c:pt>
                <c:pt idx="338">
                  <c:v>32295</c:v>
                </c:pt>
                <c:pt idx="339">
                  <c:v>32265</c:v>
                </c:pt>
                <c:pt idx="340">
                  <c:v>32234</c:v>
                </c:pt>
                <c:pt idx="341">
                  <c:v>32203</c:v>
                </c:pt>
                <c:pt idx="342">
                  <c:v>32174</c:v>
                </c:pt>
                <c:pt idx="343">
                  <c:v>32143</c:v>
                </c:pt>
                <c:pt idx="344">
                  <c:v>32112</c:v>
                </c:pt>
                <c:pt idx="345">
                  <c:v>32083</c:v>
                </c:pt>
                <c:pt idx="346">
                  <c:v>32051</c:v>
                </c:pt>
                <c:pt idx="347">
                  <c:v>32021</c:v>
                </c:pt>
                <c:pt idx="348">
                  <c:v>31992</c:v>
                </c:pt>
                <c:pt idx="349">
                  <c:v>31959</c:v>
                </c:pt>
                <c:pt idx="350">
                  <c:v>31929</c:v>
                </c:pt>
                <c:pt idx="351">
                  <c:v>31898</c:v>
                </c:pt>
                <c:pt idx="352">
                  <c:v>31868</c:v>
                </c:pt>
                <c:pt idx="353">
                  <c:v>31838</c:v>
                </c:pt>
                <c:pt idx="354">
                  <c:v>31810</c:v>
                </c:pt>
                <c:pt idx="355">
                  <c:v>31778</c:v>
                </c:pt>
                <c:pt idx="356">
                  <c:v>31747</c:v>
                </c:pt>
                <c:pt idx="357">
                  <c:v>31719</c:v>
                </c:pt>
                <c:pt idx="358">
                  <c:v>31686</c:v>
                </c:pt>
                <c:pt idx="359">
                  <c:v>31656</c:v>
                </c:pt>
                <c:pt idx="360">
                  <c:v>31625</c:v>
                </c:pt>
                <c:pt idx="361">
                  <c:v>31594</c:v>
                </c:pt>
                <c:pt idx="362">
                  <c:v>31565</c:v>
                </c:pt>
                <c:pt idx="363">
                  <c:v>31533</c:v>
                </c:pt>
                <c:pt idx="364">
                  <c:v>31503</c:v>
                </c:pt>
                <c:pt idx="365">
                  <c:v>31474</c:v>
                </c:pt>
                <c:pt idx="366">
                  <c:v>31446</c:v>
                </c:pt>
                <c:pt idx="367">
                  <c:v>31413</c:v>
                </c:pt>
              </c:numCache>
            </c:numRef>
          </c:cat>
          <c:val>
            <c:numRef>
              <c:f>'Raw Data'!$H$7:$H$374</c:f>
              <c:numCache>
                <c:formatCode>0.00%</c:formatCode>
                <c:ptCount val="368"/>
                <c:pt idx="0">
                  <c:v>-0.15820505653127495</c:v>
                </c:pt>
                <c:pt idx="1">
                  <c:v>-0.15820505653127495</c:v>
                </c:pt>
                <c:pt idx="2">
                  <c:v>-0.15820505653127495</c:v>
                </c:pt>
                <c:pt idx="3">
                  <c:v>-0.15820505653127495</c:v>
                </c:pt>
                <c:pt idx="4">
                  <c:v>-0.15820505653127495</c:v>
                </c:pt>
                <c:pt idx="5">
                  <c:v>-0.15820505653127495</c:v>
                </c:pt>
                <c:pt idx="6">
                  <c:v>-0.15820505653127495</c:v>
                </c:pt>
                <c:pt idx="7">
                  <c:v>-0.15820505653127495</c:v>
                </c:pt>
                <c:pt idx="8">
                  <c:v>-0.15820505653127495</c:v>
                </c:pt>
                <c:pt idx="9">
                  <c:v>-0.15820505653127495</c:v>
                </c:pt>
                <c:pt idx="10">
                  <c:v>-0.15820505653127495</c:v>
                </c:pt>
                <c:pt idx="11">
                  <c:v>-0.15820505653127495</c:v>
                </c:pt>
                <c:pt idx="12">
                  <c:v>-0.15820505653127495</c:v>
                </c:pt>
                <c:pt idx="13">
                  <c:v>-0.15820505653127495</c:v>
                </c:pt>
                <c:pt idx="14">
                  <c:v>-0.15820505653127495</c:v>
                </c:pt>
                <c:pt idx="15">
                  <c:v>-0.15820505653127495</c:v>
                </c:pt>
                <c:pt idx="16">
                  <c:v>-0.15820505653127495</c:v>
                </c:pt>
                <c:pt idx="17">
                  <c:v>-0.15820505653127495</c:v>
                </c:pt>
                <c:pt idx="18">
                  <c:v>-0.15820505653127495</c:v>
                </c:pt>
                <c:pt idx="19">
                  <c:v>-0.15820505653127495</c:v>
                </c:pt>
                <c:pt idx="20">
                  <c:v>-0.15820505653127495</c:v>
                </c:pt>
                <c:pt idx="21">
                  <c:v>-0.15820505653127495</c:v>
                </c:pt>
                <c:pt idx="22">
                  <c:v>-0.15820505653127495</c:v>
                </c:pt>
                <c:pt idx="23">
                  <c:v>-0.15820505653127495</c:v>
                </c:pt>
                <c:pt idx="24">
                  <c:v>-0.15820505653127495</c:v>
                </c:pt>
                <c:pt idx="25">
                  <c:v>-0.15820505653127495</c:v>
                </c:pt>
                <c:pt idx="26">
                  <c:v>-0.15820505653127495</c:v>
                </c:pt>
                <c:pt idx="27">
                  <c:v>-0.15820505653127495</c:v>
                </c:pt>
                <c:pt idx="28">
                  <c:v>-0.15820505653127495</c:v>
                </c:pt>
                <c:pt idx="29">
                  <c:v>-0.15820505653127495</c:v>
                </c:pt>
                <c:pt idx="30">
                  <c:v>-0.15820505653127495</c:v>
                </c:pt>
                <c:pt idx="31">
                  <c:v>-0.15820505653127495</c:v>
                </c:pt>
                <c:pt idx="32">
                  <c:v>-0.15820505653127495</c:v>
                </c:pt>
                <c:pt idx="33">
                  <c:v>-0.15820505653127495</c:v>
                </c:pt>
                <c:pt idx="34">
                  <c:v>-0.15820505653127495</c:v>
                </c:pt>
                <c:pt idx="35">
                  <c:v>-0.15820505653127495</c:v>
                </c:pt>
                <c:pt idx="36">
                  <c:v>-0.15820505653127495</c:v>
                </c:pt>
                <c:pt idx="37">
                  <c:v>-0.15820505653127495</c:v>
                </c:pt>
                <c:pt idx="38">
                  <c:v>-0.15820505653127495</c:v>
                </c:pt>
                <c:pt idx="39">
                  <c:v>-0.15820505653127495</c:v>
                </c:pt>
                <c:pt idx="40">
                  <c:v>-0.15820505653127495</c:v>
                </c:pt>
                <c:pt idx="41">
                  <c:v>-0.15820505653127495</c:v>
                </c:pt>
                <c:pt idx="42">
                  <c:v>-0.15820505653127495</c:v>
                </c:pt>
                <c:pt idx="43">
                  <c:v>-0.15820505653127495</c:v>
                </c:pt>
                <c:pt idx="44">
                  <c:v>-0.15820505653127495</c:v>
                </c:pt>
                <c:pt idx="45">
                  <c:v>-0.15820505653127495</c:v>
                </c:pt>
                <c:pt idx="46">
                  <c:v>-0.15820505653127495</c:v>
                </c:pt>
                <c:pt idx="47">
                  <c:v>-0.15820505653127495</c:v>
                </c:pt>
                <c:pt idx="48">
                  <c:v>-0.15820505653127495</c:v>
                </c:pt>
                <c:pt idx="49">
                  <c:v>-0.15820505653127495</c:v>
                </c:pt>
                <c:pt idx="50">
                  <c:v>-0.15820505653127495</c:v>
                </c:pt>
                <c:pt idx="51">
                  <c:v>-0.15820505653127495</c:v>
                </c:pt>
                <c:pt idx="52">
                  <c:v>-0.15820505653127495</c:v>
                </c:pt>
                <c:pt idx="53">
                  <c:v>-0.15820505653127495</c:v>
                </c:pt>
                <c:pt idx="54">
                  <c:v>-0.15820505653127495</c:v>
                </c:pt>
                <c:pt idx="55">
                  <c:v>-0.15820505653127495</c:v>
                </c:pt>
                <c:pt idx="56">
                  <c:v>-0.15820505653127495</c:v>
                </c:pt>
                <c:pt idx="57">
                  <c:v>-0.15820505653127495</c:v>
                </c:pt>
                <c:pt idx="58">
                  <c:v>-0.15820505653127495</c:v>
                </c:pt>
                <c:pt idx="59">
                  <c:v>-0.15820505653127495</c:v>
                </c:pt>
                <c:pt idx="60">
                  <c:v>-0.15820505653127495</c:v>
                </c:pt>
                <c:pt idx="61">
                  <c:v>-0.15820505653127495</c:v>
                </c:pt>
                <c:pt idx="62">
                  <c:v>-0.15820505653127495</c:v>
                </c:pt>
                <c:pt idx="63">
                  <c:v>-0.15820505653127495</c:v>
                </c:pt>
                <c:pt idx="64">
                  <c:v>-0.15820505653127495</c:v>
                </c:pt>
                <c:pt idx="65">
                  <c:v>-0.15820505653127495</c:v>
                </c:pt>
                <c:pt idx="66">
                  <c:v>-0.15820505653127495</c:v>
                </c:pt>
                <c:pt idx="67">
                  <c:v>-0.15820505653127495</c:v>
                </c:pt>
                <c:pt idx="68">
                  <c:v>-0.15820505653127495</c:v>
                </c:pt>
                <c:pt idx="69">
                  <c:v>-0.15820505653127495</c:v>
                </c:pt>
                <c:pt idx="70">
                  <c:v>-0.15820505653127495</c:v>
                </c:pt>
                <c:pt idx="71">
                  <c:v>-0.15820505653127495</c:v>
                </c:pt>
                <c:pt idx="72">
                  <c:v>-0.15820505653127495</c:v>
                </c:pt>
                <c:pt idx="73">
                  <c:v>-0.15820505653127495</c:v>
                </c:pt>
                <c:pt idx="74">
                  <c:v>-0.15820505653127495</c:v>
                </c:pt>
                <c:pt idx="75">
                  <c:v>-0.15820505653127495</c:v>
                </c:pt>
                <c:pt idx="76">
                  <c:v>-0.15820505653127495</c:v>
                </c:pt>
                <c:pt idx="77">
                  <c:v>-0.15820505653127495</c:v>
                </c:pt>
                <c:pt idx="78">
                  <c:v>-0.15820505653127495</c:v>
                </c:pt>
                <c:pt idx="79">
                  <c:v>-0.15820505653127495</c:v>
                </c:pt>
                <c:pt idx="80">
                  <c:v>-0.15820505653127495</c:v>
                </c:pt>
                <c:pt idx="81">
                  <c:v>-0.15820505653127495</c:v>
                </c:pt>
                <c:pt idx="82">
                  <c:v>-0.15820505653127495</c:v>
                </c:pt>
                <c:pt idx="83">
                  <c:v>-0.15820505653127495</c:v>
                </c:pt>
                <c:pt idx="84">
                  <c:v>-0.15820505653127495</c:v>
                </c:pt>
                <c:pt idx="85">
                  <c:v>-0.15820505653127495</c:v>
                </c:pt>
                <c:pt idx="86">
                  <c:v>-0.15820505653127495</c:v>
                </c:pt>
                <c:pt idx="87">
                  <c:v>-0.15820505653127495</c:v>
                </c:pt>
                <c:pt idx="88">
                  <c:v>-0.15820505653127495</c:v>
                </c:pt>
                <c:pt idx="89">
                  <c:v>-0.15820505653127495</c:v>
                </c:pt>
                <c:pt idx="90">
                  <c:v>-0.15820505653127495</c:v>
                </c:pt>
                <c:pt idx="91">
                  <c:v>-0.15820505653127495</c:v>
                </c:pt>
                <c:pt idx="92">
                  <c:v>-0.15820505653127495</c:v>
                </c:pt>
                <c:pt idx="93">
                  <c:v>-0.15820505653127495</c:v>
                </c:pt>
                <c:pt idx="94">
                  <c:v>-0.15820505653127495</c:v>
                </c:pt>
                <c:pt idx="95">
                  <c:v>-0.15820505653127495</c:v>
                </c:pt>
                <c:pt idx="96">
                  <c:v>-0.15820505653127495</c:v>
                </c:pt>
                <c:pt idx="97">
                  <c:v>-0.15820505653127495</c:v>
                </c:pt>
                <c:pt idx="98">
                  <c:v>-0.15820505653127495</c:v>
                </c:pt>
                <c:pt idx="99">
                  <c:v>-0.15820505653127495</c:v>
                </c:pt>
                <c:pt idx="100">
                  <c:v>-0.15820505653127495</c:v>
                </c:pt>
                <c:pt idx="101">
                  <c:v>-0.15820505653127495</c:v>
                </c:pt>
                <c:pt idx="102">
                  <c:v>-0.15820505653127495</c:v>
                </c:pt>
                <c:pt idx="103">
                  <c:v>-0.15820505653127495</c:v>
                </c:pt>
                <c:pt idx="104">
                  <c:v>-0.15820505653127495</c:v>
                </c:pt>
                <c:pt idx="105">
                  <c:v>-0.15820505653127495</c:v>
                </c:pt>
                <c:pt idx="106">
                  <c:v>-0.15820505653127495</c:v>
                </c:pt>
                <c:pt idx="107">
                  <c:v>-0.15820505653127495</c:v>
                </c:pt>
                <c:pt idx="108">
                  <c:v>-0.15820505653127495</c:v>
                </c:pt>
                <c:pt idx="109">
                  <c:v>-0.15820505653127495</c:v>
                </c:pt>
                <c:pt idx="110">
                  <c:v>-0.15820505653127495</c:v>
                </c:pt>
                <c:pt idx="111">
                  <c:v>-0.15820505653127495</c:v>
                </c:pt>
                <c:pt idx="112">
                  <c:v>-0.15820505653127495</c:v>
                </c:pt>
                <c:pt idx="113">
                  <c:v>-0.15820505653127495</c:v>
                </c:pt>
                <c:pt idx="114">
                  <c:v>-0.15820505653127495</c:v>
                </c:pt>
                <c:pt idx="115">
                  <c:v>-0.15820505653127495</c:v>
                </c:pt>
                <c:pt idx="116">
                  <c:v>-0.15820505653127495</c:v>
                </c:pt>
                <c:pt idx="117">
                  <c:v>-0.15820505653127495</c:v>
                </c:pt>
                <c:pt idx="118">
                  <c:v>-0.15820505653127495</c:v>
                </c:pt>
                <c:pt idx="119">
                  <c:v>-0.15820505653127495</c:v>
                </c:pt>
                <c:pt idx="120">
                  <c:v>-0.15820505653127495</c:v>
                </c:pt>
                <c:pt idx="121">
                  <c:v>-0.15820505653127495</c:v>
                </c:pt>
                <c:pt idx="122">
                  <c:v>-0.15820505653127495</c:v>
                </c:pt>
                <c:pt idx="123">
                  <c:v>-0.15820505653127495</c:v>
                </c:pt>
                <c:pt idx="124">
                  <c:v>-0.15820505653127495</c:v>
                </c:pt>
                <c:pt idx="125">
                  <c:v>-0.15820505653127495</c:v>
                </c:pt>
                <c:pt idx="126">
                  <c:v>-0.15820505653127495</c:v>
                </c:pt>
                <c:pt idx="127">
                  <c:v>-0.15820505653127495</c:v>
                </c:pt>
                <c:pt idx="128">
                  <c:v>-0.15820505653127495</c:v>
                </c:pt>
                <c:pt idx="129">
                  <c:v>-0.15820505653127495</c:v>
                </c:pt>
                <c:pt idx="130">
                  <c:v>-0.15820505653127495</c:v>
                </c:pt>
                <c:pt idx="131">
                  <c:v>-0.15820505653127495</c:v>
                </c:pt>
                <c:pt idx="132">
                  <c:v>-0.15820505653127495</c:v>
                </c:pt>
                <c:pt idx="133">
                  <c:v>-0.15820505653127495</c:v>
                </c:pt>
                <c:pt idx="134">
                  <c:v>-0.15820505653127495</c:v>
                </c:pt>
                <c:pt idx="135">
                  <c:v>-0.15820505653127495</c:v>
                </c:pt>
                <c:pt idx="136">
                  <c:v>-0.15820505653127495</c:v>
                </c:pt>
                <c:pt idx="137">
                  <c:v>-0.15820505653127495</c:v>
                </c:pt>
                <c:pt idx="138">
                  <c:v>-0.15820505653127495</c:v>
                </c:pt>
                <c:pt idx="139">
                  <c:v>-0.15820505653127495</c:v>
                </c:pt>
                <c:pt idx="140">
                  <c:v>-0.15820505653127495</c:v>
                </c:pt>
                <c:pt idx="141">
                  <c:v>-0.15820505653127495</c:v>
                </c:pt>
                <c:pt idx="142">
                  <c:v>-0.15820505653127495</c:v>
                </c:pt>
                <c:pt idx="143">
                  <c:v>-0.15820505653127495</c:v>
                </c:pt>
                <c:pt idx="144">
                  <c:v>-0.15820505653127495</c:v>
                </c:pt>
                <c:pt idx="145">
                  <c:v>-0.15820505653127495</c:v>
                </c:pt>
                <c:pt idx="146">
                  <c:v>-0.15820505653127495</c:v>
                </c:pt>
                <c:pt idx="147">
                  <c:v>-0.15820505653127495</c:v>
                </c:pt>
                <c:pt idx="148">
                  <c:v>-0.15820505653127495</c:v>
                </c:pt>
                <c:pt idx="149">
                  <c:v>-0.15820505653127495</c:v>
                </c:pt>
                <c:pt idx="150">
                  <c:v>-0.15820505653127495</c:v>
                </c:pt>
                <c:pt idx="151">
                  <c:v>-0.15820505653127495</c:v>
                </c:pt>
                <c:pt idx="152">
                  <c:v>-0.15820505653127495</c:v>
                </c:pt>
                <c:pt idx="153">
                  <c:v>-0.15820505653127495</c:v>
                </c:pt>
                <c:pt idx="154">
                  <c:v>-0.15820505653127495</c:v>
                </c:pt>
                <c:pt idx="155">
                  <c:v>-0.15820505653127495</c:v>
                </c:pt>
                <c:pt idx="156">
                  <c:v>-0.15820505653127495</c:v>
                </c:pt>
                <c:pt idx="157">
                  <c:v>-0.15820505653127495</c:v>
                </c:pt>
                <c:pt idx="158">
                  <c:v>-0.15820505653127495</c:v>
                </c:pt>
                <c:pt idx="159">
                  <c:v>-0.15820505653127495</c:v>
                </c:pt>
                <c:pt idx="160">
                  <c:v>-0.15820505653127495</c:v>
                </c:pt>
                <c:pt idx="161">
                  <c:v>-0.15820505653127495</c:v>
                </c:pt>
                <c:pt idx="162">
                  <c:v>-0.15820505653127495</c:v>
                </c:pt>
                <c:pt idx="163">
                  <c:v>-0.15820505653127495</c:v>
                </c:pt>
                <c:pt idx="164">
                  <c:v>-0.15820505653127495</c:v>
                </c:pt>
                <c:pt idx="165">
                  <c:v>-0.15820505653127495</c:v>
                </c:pt>
                <c:pt idx="166">
                  <c:v>-0.15820505653127495</c:v>
                </c:pt>
                <c:pt idx="167">
                  <c:v>-0.15820505653127495</c:v>
                </c:pt>
                <c:pt idx="168">
                  <c:v>-0.15820505653127495</c:v>
                </c:pt>
                <c:pt idx="169">
                  <c:v>-0.15820505653127495</c:v>
                </c:pt>
                <c:pt idx="170">
                  <c:v>-0.15820505653127495</c:v>
                </c:pt>
                <c:pt idx="171">
                  <c:v>-0.15820505653127495</c:v>
                </c:pt>
                <c:pt idx="172">
                  <c:v>-0.15820505653127495</c:v>
                </c:pt>
                <c:pt idx="173">
                  <c:v>-0.15820505653127495</c:v>
                </c:pt>
                <c:pt idx="174">
                  <c:v>-0.15820505653127495</c:v>
                </c:pt>
                <c:pt idx="175">
                  <c:v>-0.15820505653127495</c:v>
                </c:pt>
                <c:pt idx="176">
                  <c:v>-0.15820505653127495</c:v>
                </c:pt>
                <c:pt idx="177">
                  <c:v>-0.15820505653127495</c:v>
                </c:pt>
                <c:pt idx="178">
                  <c:v>-0.15820505653127495</c:v>
                </c:pt>
                <c:pt idx="179">
                  <c:v>-0.15820505653127495</c:v>
                </c:pt>
                <c:pt idx="180">
                  <c:v>-0.15820505653127495</c:v>
                </c:pt>
                <c:pt idx="181">
                  <c:v>-0.15820505653127495</c:v>
                </c:pt>
                <c:pt idx="182">
                  <c:v>-0.15820505653127495</c:v>
                </c:pt>
                <c:pt idx="183">
                  <c:v>-0.15820505653127495</c:v>
                </c:pt>
                <c:pt idx="184">
                  <c:v>-0.15820505653127495</c:v>
                </c:pt>
                <c:pt idx="185">
                  <c:v>-0.15820505653127495</c:v>
                </c:pt>
                <c:pt idx="186">
                  <c:v>-0.15820505653127495</c:v>
                </c:pt>
                <c:pt idx="187">
                  <c:v>-0.15820505653127495</c:v>
                </c:pt>
                <c:pt idx="188">
                  <c:v>-0.15820505653127495</c:v>
                </c:pt>
                <c:pt idx="189">
                  <c:v>-0.15820505653127495</c:v>
                </c:pt>
                <c:pt idx="190">
                  <c:v>-0.15820505653127495</c:v>
                </c:pt>
                <c:pt idx="191">
                  <c:v>-0.15820505653127495</c:v>
                </c:pt>
                <c:pt idx="192">
                  <c:v>-0.15820505653127495</c:v>
                </c:pt>
                <c:pt idx="193">
                  <c:v>-0.15820505653127495</c:v>
                </c:pt>
                <c:pt idx="194">
                  <c:v>-0.15820505653127495</c:v>
                </c:pt>
                <c:pt idx="195">
                  <c:v>-0.15820505653127495</c:v>
                </c:pt>
                <c:pt idx="196">
                  <c:v>-0.15820505653127495</c:v>
                </c:pt>
                <c:pt idx="197">
                  <c:v>-0.15820505653127495</c:v>
                </c:pt>
                <c:pt idx="198">
                  <c:v>-0.15820505653127495</c:v>
                </c:pt>
                <c:pt idx="199">
                  <c:v>-0.15820505653127495</c:v>
                </c:pt>
                <c:pt idx="200">
                  <c:v>-0.15820505653127495</c:v>
                </c:pt>
                <c:pt idx="201">
                  <c:v>-0.15820505653127495</c:v>
                </c:pt>
                <c:pt idx="202">
                  <c:v>-0.15820505653127495</c:v>
                </c:pt>
                <c:pt idx="203">
                  <c:v>-0.15820505653127495</c:v>
                </c:pt>
                <c:pt idx="204">
                  <c:v>-0.15820505653127495</c:v>
                </c:pt>
                <c:pt idx="205">
                  <c:v>-0.15820505653127495</c:v>
                </c:pt>
                <c:pt idx="206">
                  <c:v>-0.15820505653127495</c:v>
                </c:pt>
                <c:pt idx="207">
                  <c:v>-0.15820505653127495</c:v>
                </c:pt>
                <c:pt idx="208">
                  <c:v>-0.15820505653127495</c:v>
                </c:pt>
                <c:pt idx="209">
                  <c:v>-0.15820505653127495</c:v>
                </c:pt>
                <c:pt idx="210">
                  <c:v>-0.15820505653127495</c:v>
                </c:pt>
                <c:pt idx="211">
                  <c:v>-0.15820505653127495</c:v>
                </c:pt>
                <c:pt idx="212">
                  <c:v>-0.15820505653127495</c:v>
                </c:pt>
                <c:pt idx="213">
                  <c:v>-0.15820505653127495</c:v>
                </c:pt>
                <c:pt idx="214">
                  <c:v>-0.15820505653127495</c:v>
                </c:pt>
                <c:pt idx="215">
                  <c:v>-0.15820505653127495</c:v>
                </c:pt>
                <c:pt idx="216">
                  <c:v>-0.15820505653127495</c:v>
                </c:pt>
                <c:pt idx="217">
                  <c:v>-0.15820505653127495</c:v>
                </c:pt>
                <c:pt idx="218">
                  <c:v>-0.15820505653127495</c:v>
                </c:pt>
                <c:pt idx="219">
                  <c:v>-0.15820505653127495</c:v>
                </c:pt>
                <c:pt idx="220">
                  <c:v>-0.15820505653127495</c:v>
                </c:pt>
                <c:pt idx="221">
                  <c:v>-0.15820505653127495</c:v>
                </c:pt>
                <c:pt idx="222">
                  <c:v>-0.15820505653127495</c:v>
                </c:pt>
                <c:pt idx="223">
                  <c:v>-0.15820505653127495</c:v>
                </c:pt>
                <c:pt idx="224">
                  <c:v>-0.15820505653127495</c:v>
                </c:pt>
                <c:pt idx="225">
                  <c:v>-0.15820505653127495</c:v>
                </c:pt>
                <c:pt idx="226">
                  <c:v>-0.15820505653127495</c:v>
                </c:pt>
                <c:pt idx="227">
                  <c:v>-0.15820505653127495</c:v>
                </c:pt>
                <c:pt idx="228">
                  <c:v>-0.15820505653127495</c:v>
                </c:pt>
                <c:pt idx="229">
                  <c:v>-0.15820505653127495</c:v>
                </c:pt>
                <c:pt idx="230">
                  <c:v>-0.15820505653127495</c:v>
                </c:pt>
                <c:pt idx="231">
                  <c:v>-0.15820505653127495</c:v>
                </c:pt>
                <c:pt idx="232">
                  <c:v>-0.15820505653127495</c:v>
                </c:pt>
                <c:pt idx="233">
                  <c:v>-0.15820505653127495</c:v>
                </c:pt>
                <c:pt idx="234">
                  <c:v>-0.15820505653127495</c:v>
                </c:pt>
                <c:pt idx="235">
                  <c:v>-0.15820505653127495</c:v>
                </c:pt>
                <c:pt idx="236">
                  <c:v>-0.15820505653127495</c:v>
                </c:pt>
                <c:pt idx="237">
                  <c:v>-0.15820505653127495</c:v>
                </c:pt>
                <c:pt idx="238">
                  <c:v>-0.15820505653127495</c:v>
                </c:pt>
                <c:pt idx="239">
                  <c:v>-0.15820505653127495</c:v>
                </c:pt>
                <c:pt idx="240">
                  <c:v>-0.15820505653127495</c:v>
                </c:pt>
                <c:pt idx="241">
                  <c:v>-0.15820505653127495</c:v>
                </c:pt>
                <c:pt idx="242">
                  <c:v>-0.15820505653127495</c:v>
                </c:pt>
                <c:pt idx="243">
                  <c:v>-0.15820505653127495</c:v>
                </c:pt>
                <c:pt idx="244">
                  <c:v>-0.15820505653127495</c:v>
                </c:pt>
                <c:pt idx="245">
                  <c:v>-0.15820505653127495</c:v>
                </c:pt>
                <c:pt idx="246">
                  <c:v>-0.15820505653127495</c:v>
                </c:pt>
                <c:pt idx="247">
                  <c:v>-0.15820505653127495</c:v>
                </c:pt>
                <c:pt idx="248">
                  <c:v>-0.15820505653127495</c:v>
                </c:pt>
                <c:pt idx="249">
                  <c:v>-0.15820505653127495</c:v>
                </c:pt>
                <c:pt idx="250">
                  <c:v>-0.15820505653127495</c:v>
                </c:pt>
                <c:pt idx="251">
                  <c:v>-0.15820505653127495</c:v>
                </c:pt>
                <c:pt idx="252">
                  <c:v>-0.15820505653127495</c:v>
                </c:pt>
                <c:pt idx="253">
                  <c:v>-0.15820505653127495</c:v>
                </c:pt>
                <c:pt idx="254">
                  <c:v>-0.15820505653127495</c:v>
                </c:pt>
                <c:pt idx="255">
                  <c:v>-0.15820505653127495</c:v>
                </c:pt>
                <c:pt idx="256">
                  <c:v>-0.15820505653127495</c:v>
                </c:pt>
                <c:pt idx="257">
                  <c:v>-0.15820505653127495</c:v>
                </c:pt>
                <c:pt idx="258">
                  <c:v>-0.15820505653127495</c:v>
                </c:pt>
                <c:pt idx="259">
                  <c:v>-0.15820505653127495</c:v>
                </c:pt>
                <c:pt idx="260">
                  <c:v>-0.15820505653127495</c:v>
                </c:pt>
                <c:pt idx="261">
                  <c:v>-0.15820505653127495</c:v>
                </c:pt>
                <c:pt idx="262">
                  <c:v>-0.15820505653127495</c:v>
                </c:pt>
                <c:pt idx="263">
                  <c:v>-0.15820505653127495</c:v>
                </c:pt>
                <c:pt idx="264">
                  <c:v>-0.15820505653127495</c:v>
                </c:pt>
                <c:pt idx="265">
                  <c:v>-0.15820505653127495</c:v>
                </c:pt>
                <c:pt idx="266">
                  <c:v>-0.15820505653127495</c:v>
                </c:pt>
                <c:pt idx="267">
                  <c:v>-0.15820505653127495</c:v>
                </c:pt>
                <c:pt idx="268">
                  <c:v>-0.15820505653127495</c:v>
                </c:pt>
                <c:pt idx="269">
                  <c:v>-0.15820505653127495</c:v>
                </c:pt>
                <c:pt idx="270">
                  <c:v>-0.15820505653127495</c:v>
                </c:pt>
                <c:pt idx="271">
                  <c:v>-0.15820505653127495</c:v>
                </c:pt>
                <c:pt idx="272">
                  <c:v>-0.15820505653127495</c:v>
                </c:pt>
                <c:pt idx="273">
                  <c:v>-0.15820505653127495</c:v>
                </c:pt>
                <c:pt idx="274">
                  <c:v>-0.15820505653127495</c:v>
                </c:pt>
                <c:pt idx="275">
                  <c:v>-0.15820505653127495</c:v>
                </c:pt>
                <c:pt idx="276">
                  <c:v>-0.15820505653127495</c:v>
                </c:pt>
                <c:pt idx="277">
                  <c:v>-0.15820505653127495</c:v>
                </c:pt>
                <c:pt idx="278">
                  <c:v>-0.15820505653127495</c:v>
                </c:pt>
                <c:pt idx="279">
                  <c:v>-0.15820505653127495</c:v>
                </c:pt>
                <c:pt idx="280">
                  <c:v>-0.15820505653127495</c:v>
                </c:pt>
                <c:pt idx="281">
                  <c:v>-0.15820505653127495</c:v>
                </c:pt>
                <c:pt idx="282">
                  <c:v>-0.15820505653127495</c:v>
                </c:pt>
                <c:pt idx="283">
                  <c:v>-0.15820505653127495</c:v>
                </c:pt>
                <c:pt idx="284">
                  <c:v>-0.15820505653127495</c:v>
                </c:pt>
                <c:pt idx="285">
                  <c:v>-0.15820505653127495</c:v>
                </c:pt>
                <c:pt idx="286">
                  <c:v>-0.15820505653127495</c:v>
                </c:pt>
                <c:pt idx="287">
                  <c:v>-0.15820505653127495</c:v>
                </c:pt>
                <c:pt idx="288">
                  <c:v>-0.15820505653127495</c:v>
                </c:pt>
                <c:pt idx="289">
                  <c:v>-0.15820505653127495</c:v>
                </c:pt>
                <c:pt idx="290">
                  <c:v>-0.15820505653127495</c:v>
                </c:pt>
                <c:pt idx="291">
                  <c:v>-0.15820505653127495</c:v>
                </c:pt>
                <c:pt idx="292">
                  <c:v>-0.15820505653127495</c:v>
                </c:pt>
                <c:pt idx="293">
                  <c:v>-0.15820505653127495</c:v>
                </c:pt>
                <c:pt idx="294">
                  <c:v>-0.15820505653127495</c:v>
                </c:pt>
                <c:pt idx="295">
                  <c:v>-0.15820505653127495</c:v>
                </c:pt>
                <c:pt idx="296">
                  <c:v>-0.15820505653127495</c:v>
                </c:pt>
                <c:pt idx="297">
                  <c:v>-0.15820505653127495</c:v>
                </c:pt>
                <c:pt idx="298">
                  <c:v>-0.15820505653127495</c:v>
                </c:pt>
                <c:pt idx="299">
                  <c:v>-0.15820505653127495</c:v>
                </c:pt>
                <c:pt idx="300">
                  <c:v>-0.15820505653127495</c:v>
                </c:pt>
                <c:pt idx="301">
                  <c:v>-0.15820505653127495</c:v>
                </c:pt>
                <c:pt idx="302">
                  <c:v>-0.15820505653127495</c:v>
                </c:pt>
                <c:pt idx="303">
                  <c:v>-0.15820505653127495</c:v>
                </c:pt>
                <c:pt idx="304">
                  <c:v>-0.15820505653127495</c:v>
                </c:pt>
                <c:pt idx="305">
                  <c:v>-0.15820505653127495</c:v>
                </c:pt>
                <c:pt idx="306">
                  <c:v>-0.15820505653127495</c:v>
                </c:pt>
                <c:pt idx="307">
                  <c:v>-0.15820505653127495</c:v>
                </c:pt>
                <c:pt idx="308">
                  <c:v>-0.15820505653127495</c:v>
                </c:pt>
                <c:pt idx="309">
                  <c:v>-0.15820505653127495</c:v>
                </c:pt>
                <c:pt idx="310">
                  <c:v>-0.15820505653127495</c:v>
                </c:pt>
                <c:pt idx="311">
                  <c:v>-0.15820505653127495</c:v>
                </c:pt>
                <c:pt idx="312">
                  <c:v>-0.15820505653127495</c:v>
                </c:pt>
                <c:pt idx="313">
                  <c:v>-0.15820505653127495</c:v>
                </c:pt>
                <c:pt idx="314">
                  <c:v>-0.15820505653127495</c:v>
                </c:pt>
                <c:pt idx="315">
                  <c:v>-0.15820505653127495</c:v>
                </c:pt>
                <c:pt idx="316">
                  <c:v>-0.15820505653127495</c:v>
                </c:pt>
                <c:pt idx="317">
                  <c:v>-0.15820505653127495</c:v>
                </c:pt>
                <c:pt idx="318">
                  <c:v>-0.15820505653127495</c:v>
                </c:pt>
                <c:pt idx="319">
                  <c:v>-0.15820505653127495</c:v>
                </c:pt>
                <c:pt idx="320">
                  <c:v>-0.15820505653127495</c:v>
                </c:pt>
                <c:pt idx="321">
                  <c:v>-0.15820505653127495</c:v>
                </c:pt>
                <c:pt idx="322">
                  <c:v>-0.15820505653127495</c:v>
                </c:pt>
                <c:pt idx="323">
                  <c:v>-0.15820505653127495</c:v>
                </c:pt>
                <c:pt idx="324">
                  <c:v>-0.15820505653127495</c:v>
                </c:pt>
                <c:pt idx="325">
                  <c:v>-0.15820505653127495</c:v>
                </c:pt>
                <c:pt idx="326">
                  <c:v>-0.15820505653127495</c:v>
                </c:pt>
                <c:pt idx="327">
                  <c:v>-0.15820505653127495</c:v>
                </c:pt>
                <c:pt idx="328">
                  <c:v>-0.15820505653127495</c:v>
                </c:pt>
                <c:pt idx="329">
                  <c:v>-0.15820505653127495</c:v>
                </c:pt>
                <c:pt idx="330">
                  <c:v>-0.15820505653127495</c:v>
                </c:pt>
                <c:pt idx="331">
                  <c:v>-0.15820505653127495</c:v>
                </c:pt>
                <c:pt idx="332">
                  <c:v>-0.15820505653127495</c:v>
                </c:pt>
                <c:pt idx="333">
                  <c:v>-0.15820505653127495</c:v>
                </c:pt>
                <c:pt idx="334">
                  <c:v>-0.15820505653127495</c:v>
                </c:pt>
                <c:pt idx="335">
                  <c:v>-0.15820505653127495</c:v>
                </c:pt>
                <c:pt idx="336">
                  <c:v>-0.15820505653127495</c:v>
                </c:pt>
                <c:pt idx="337">
                  <c:v>-0.15820505653127495</c:v>
                </c:pt>
                <c:pt idx="338">
                  <c:v>-0.15820505653127495</c:v>
                </c:pt>
                <c:pt idx="339">
                  <c:v>-0.15820505653127495</c:v>
                </c:pt>
                <c:pt idx="340">
                  <c:v>-0.15820505653127495</c:v>
                </c:pt>
                <c:pt idx="341">
                  <c:v>-0.15820505653127495</c:v>
                </c:pt>
                <c:pt idx="342">
                  <c:v>-0.15820505653127495</c:v>
                </c:pt>
                <c:pt idx="343">
                  <c:v>-0.15820505653127495</c:v>
                </c:pt>
                <c:pt idx="344">
                  <c:v>-0.15820505653127495</c:v>
                </c:pt>
                <c:pt idx="345">
                  <c:v>-0.15820505653127495</c:v>
                </c:pt>
                <c:pt idx="346">
                  <c:v>-0.15820505653127495</c:v>
                </c:pt>
                <c:pt idx="347">
                  <c:v>-0.15820505653127495</c:v>
                </c:pt>
                <c:pt idx="348">
                  <c:v>-0.15820505653127495</c:v>
                </c:pt>
                <c:pt idx="349">
                  <c:v>-0.15820505653127495</c:v>
                </c:pt>
                <c:pt idx="350">
                  <c:v>-0.15820505653127495</c:v>
                </c:pt>
                <c:pt idx="351">
                  <c:v>-0.15820505653127495</c:v>
                </c:pt>
                <c:pt idx="352">
                  <c:v>-0.15820505653127495</c:v>
                </c:pt>
                <c:pt idx="353">
                  <c:v>-0.15820505653127495</c:v>
                </c:pt>
                <c:pt idx="354">
                  <c:v>-0.15820505653127495</c:v>
                </c:pt>
                <c:pt idx="355">
                  <c:v>-0.15820505653127495</c:v>
                </c:pt>
                <c:pt idx="356">
                  <c:v>-0.15820505653127495</c:v>
                </c:pt>
                <c:pt idx="357">
                  <c:v>-0.15820505653127495</c:v>
                </c:pt>
                <c:pt idx="358">
                  <c:v>-0.15820505653127495</c:v>
                </c:pt>
                <c:pt idx="359">
                  <c:v>-0.15820505653127495</c:v>
                </c:pt>
                <c:pt idx="360">
                  <c:v>-0.15820505653127495</c:v>
                </c:pt>
                <c:pt idx="361">
                  <c:v>-0.15820505653127495</c:v>
                </c:pt>
                <c:pt idx="362">
                  <c:v>-0.15820505653127495</c:v>
                </c:pt>
                <c:pt idx="363">
                  <c:v>-0.15820505653127495</c:v>
                </c:pt>
                <c:pt idx="364">
                  <c:v>-0.15820505653127495</c:v>
                </c:pt>
                <c:pt idx="365">
                  <c:v>-0.15820505653127495</c:v>
                </c:pt>
                <c:pt idx="366">
                  <c:v>-0.15820505653127495</c:v>
                </c:pt>
                <c:pt idx="367">
                  <c:v>-0.15820505653127495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68-4865-82E4-BB525CA4F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9059455"/>
        <c:axId val="2109061951"/>
      </c:lineChart>
      <c:dateAx>
        <c:axId val="2109059455"/>
        <c:scaling>
          <c:orientation val="minMax"/>
        </c:scaling>
        <c:delete val="1"/>
        <c:axPos val="b"/>
        <c:numFmt formatCode="mmm\-yy" sourceLinked="1"/>
        <c:majorTickMark val="none"/>
        <c:minorTickMark val="none"/>
        <c:tickLblPos val="nextTo"/>
        <c:crossAx val="2109061951"/>
        <c:crosses val="autoZero"/>
        <c:auto val="1"/>
        <c:lblOffset val="100"/>
        <c:baseTimeUnit val="days"/>
      </c:dateAx>
      <c:valAx>
        <c:axId val="2109061951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059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F$12" max="10" page="10" val="3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2</xdr:row>
          <xdr:rowOff>161925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 to run Conditional_Message_Box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6</xdr:row>
          <xdr:rowOff>0</xdr:rowOff>
        </xdr:from>
        <xdr:to>
          <xdr:col>4</xdr:col>
          <xdr:colOff>581025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 to run Array_Input_Box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609599</xdr:colOff>
      <xdr:row>15</xdr:row>
      <xdr:rowOff>142875</xdr:rowOff>
    </xdr:from>
    <xdr:to>
      <xdr:col>13</xdr:col>
      <xdr:colOff>0</xdr:colOff>
      <xdr:row>38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10</xdr:row>
          <xdr:rowOff>171450</xdr:rowOff>
        </xdr:from>
        <xdr:to>
          <xdr:col>8</xdr:col>
          <xdr:colOff>581025</xdr:colOff>
          <xdr:row>12</xdr:row>
          <xdr:rowOff>38100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uk.finance.yahoo.com/q/hp?s=%5EFTMC&amp;b=31&amp;a=11&amp;c=1985&amp;e=17&amp;d=07&amp;f=2016&amp;g=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59999389629810485"/>
  </sheetPr>
  <dimension ref="B2:D16"/>
  <sheetViews>
    <sheetView workbookViewId="0">
      <selection activeCell="G19" sqref="G19"/>
    </sheetView>
  </sheetViews>
  <sheetFormatPr defaultRowHeight="15" x14ac:dyDescent="0.25"/>
  <cols>
    <col min="1" max="1" width="9.140625" style="1"/>
    <col min="2" max="2" width="14.28515625" style="1" customWidth="1"/>
    <col min="3" max="3" width="10.28515625" style="1" bestFit="1" customWidth="1"/>
    <col min="4" max="4" width="23.42578125" style="1" bestFit="1" customWidth="1"/>
    <col min="5" max="5" width="10.28515625" style="1" bestFit="1" customWidth="1"/>
    <col min="6" max="6" width="23.28515625" style="1" bestFit="1" customWidth="1"/>
    <col min="7" max="16384" width="9.140625" style="1"/>
  </cols>
  <sheetData>
    <row r="2" spans="2:4" x14ac:dyDescent="0.25">
      <c r="B2" s="2" t="s">
        <v>3</v>
      </c>
    </row>
    <row r="11" spans="2:4" x14ac:dyDescent="0.25">
      <c r="B11" s="2" t="s">
        <v>4</v>
      </c>
    </row>
    <row r="12" spans="2:4" ht="15.75" thickBot="1" x14ac:dyDescent="0.3">
      <c r="B12" s="2"/>
    </row>
    <row r="13" spans="2:4" ht="15.75" thickBot="1" x14ac:dyDescent="0.3">
      <c r="B13" s="12" t="s">
        <v>0</v>
      </c>
      <c r="C13" s="13" t="s">
        <v>1</v>
      </c>
      <c r="D13" s="14" t="s">
        <v>2</v>
      </c>
    </row>
    <row r="14" spans="2:4" x14ac:dyDescent="0.25">
      <c r="B14" s="3">
        <v>1</v>
      </c>
      <c r="C14" s="4">
        <v>2</v>
      </c>
      <c r="D14" s="5">
        <f>max_fraction(B14, C14)</f>
        <v>0.66666666666666663</v>
      </c>
    </row>
    <row r="15" spans="2:4" x14ac:dyDescent="0.25">
      <c r="B15" s="6">
        <v>2</v>
      </c>
      <c r="C15" s="7">
        <v>2</v>
      </c>
      <c r="D15" s="8" t="str">
        <f>max_fraction(B15, C15)</f>
        <v>Fractions are the same</v>
      </c>
    </row>
    <row r="16" spans="2:4" ht="15.75" thickBot="1" x14ac:dyDescent="0.3">
      <c r="B16" s="9">
        <v>4</v>
      </c>
      <c r="C16" s="10">
        <v>1</v>
      </c>
      <c r="D16" s="11">
        <f>max_fraction(B16, C16)</f>
        <v>0.8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ditional_Message_Box">
                <anchor moveWithCells="1" sizeWithCells="1">
                  <from>
                    <xdr:col>0</xdr:col>
                    <xdr:colOff>590550</xdr:colOff>
                    <xdr:row>2</xdr:row>
                    <xdr:rowOff>161925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nditional_Message_Box">
                <anchor moveWithCells="1" sizeWithCells="1">
                  <from>
                    <xdr:col>0</xdr:col>
                    <xdr:colOff>590550</xdr:colOff>
                    <xdr:row>6</xdr:row>
                    <xdr:rowOff>0</xdr:rowOff>
                  </from>
                  <to>
                    <xdr:col>4</xdr:col>
                    <xdr:colOff>581025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 tint="0.79998168889431442"/>
  </sheetPr>
  <dimension ref="C2:M15"/>
  <sheetViews>
    <sheetView tabSelected="1" workbookViewId="0">
      <selection activeCell="P16" sqref="P16"/>
    </sheetView>
  </sheetViews>
  <sheetFormatPr defaultRowHeight="15" x14ac:dyDescent="0.25"/>
  <cols>
    <col min="1" max="2" width="9.140625" style="1"/>
    <col min="3" max="3" width="7.5703125" style="1" customWidth="1"/>
    <col min="4" max="4" width="8.85546875" style="1" customWidth="1"/>
    <col min="5" max="5" width="15" style="1" customWidth="1"/>
    <col min="6" max="6" width="20.85546875" style="1" customWidth="1"/>
    <col min="7" max="7" width="9.140625" style="1"/>
    <col min="8" max="8" width="21.5703125" style="1" bestFit="1" customWidth="1"/>
    <col min="9" max="9" width="18.5703125" style="1" bestFit="1" customWidth="1"/>
    <col min="10" max="12" width="9.140625" style="1"/>
    <col min="13" max="13" width="9.140625" style="1" customWidth="1"/>
    <col min="14" max="16384" width="9.140625" style="1"/>
  </cols>
  <sheetData>
    <row r="2" spans="3:13" x14ac:dyDescent="0.25">
      <c r="C2" s="2" t="s">
        <v>21</v>
      </c>
    </row>
    <row r="3" spans="3:13" ht="15.75" thickBot="1" x14ac:dyDescent="0.3"/>
    <row r="4" spans="3:13" x14ac:dyDescent="0.25">
      <c r="C4" s="15"/>
      <c r="D4" s="16"/>
      <c r="E4" s="16"/>
      <c r="F4" s="16"/>
      <c r="G4" s="16"/>
      <c r="H4" s="16"/>
      <c r="I4" s="16"/>
      <c r="J4" s="16"/>
      <c r="K4" s="16"/>
      <c r="L4" s="16"/>
      <c r="M4" s="17"/>
    </row>
    <row r="5" spans="3:13" x14ac:dyDescent="0.25">
      <c r="C5" s="18"/>
      <c r="D5" s="19" t="s">
        <v>19</v>
      </c>
      <c r="E5" s="19"/>
      <c r="F5" s="19"/>
      <c r="G5" s="19"/>
      <c r="H5" s="19"/>
      <c r="I5" s="19"/>
      <c r="J5" s="19"/>
      <c r="K5" s="19"/>
      <c r="L5" s="19"/>
      <c r="M5" s="20"/>
    </row>
    <row r="6" spans="3:13" x14ac:dyDescent="0.25">
      <c r="C6" s="18"/>
      <c r="D6" s="19" t="s">
        <v>5</v>
      </c>
      <c r="E6" s="19"/>
      <c r="F6" s="19"/>
      <c r="G6" s="19"/>
      <c r="H6" s="19"/>
      <c r="I6" s="19"/>
      <c r="J6" s="19"/>
      <c r="K6" s="19"/>
      <c r="L6" s="19"/>
      <c r="M6" s="20"/>
    </row>
    <row r="7" spans="3:13" x14ac:dyDescent="0.25">
      <c r="C7" s="18"/>
      <c r="D7" s="19" t="s">
        <v>6</v>
      </c>
      <c r="E7" s="19"/>
      <c r="F7" s="19"/>
      <c r="G7" s="19"/>
      <c r="H7" s="19"/>
      <c r="I7" s="19"/>
      <c r="J7" s="19"/>
      <c r="K7" s="19"/>
      <c r="L7" s="19"/>
      <c r="M7" s="20"/>
    </row>
    <row r="8" spans="3:13" x14ac:dyDescent="0.25">
      <c r="C8" s="18"/>
      <c r="D8" s="19" t="s">
        <v>7</v>
      </c>
      <c r="E8" s="19"/>
      <c r="F8" s="19"/>
      <c r="G8" s="19"/>
      <c r="H8" s="19"/>
      <c r="I8" s="19"/>
      <c r="J8" s="19"/>
      <c r="K8" s="19"/>
      <c r="L8" s="19"/>
      <c r="M8" s="20"/>
    </row>
    <row r="9" spans="3:13" x14ac:dyDescent="0.25">
      <c r="C9" s="18"/>
      <c r="D9" s="19" t="s">
        <v>8</v>
      </c>
      <c r="E9" s="19"/>
      <c r="F9" s="19"/>
      <c r="G9" s="19"/>
      <c r="H9" s="19"/>
      <c r="I9" s="19"/>
      <c r="J9" s="19"/>
      <c r="K9" s="19"/>
      <c r="L9" s="19"/>
      <c r="M9" s="20"/>
    </row>
    <row r="10" spans="3:13" ht="15.75" thickBot="1" x14ac:dyDescent="0.3">
      <c r="C10" s="21"/>
      <c r="D10" s="22"/>
      <c r="E10" s="22"/>
      <c r="F10" s="22"/>
      <c r="G10" s="22"/>
      <c r="H10" s="22"/>
      <c r="I10" s="22"/>
      <c r="J10" s="22"/>
      <c r="K10" s="22"/>
      <c r="L10" s="22"/>
      <c r="M10" s="23"/>
    </row>
    <row r="12" spans="3:13" x14ac:dyDescent="0.25">
      <c r="C12" s="1" t="s">
        <v>14</v>
      </c>
      <c r="F12" s="1">
        <v>3</v>
      </c>
      <c r="G12" s="1" t="s">
        <v>15</v>
      </c>
    </row>
    <row r="14" spans="3:13" x14ac:dyDescent="0.25">
      <c r="C14" s="1" t="s">
        <v>20</v>
      </c>
    </row>
    <row r="15" spans="3:13" x14ac:dyDescent="0.25">
      <c r="C15" s="1" t="s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8</xdr:col>
                    <xdr:colOff>219075</xdr:colOff>
                    <xdr:row>10</xdr:row>
                    <xdr:rowOff>171450</xdr:rowOff>
                  </from>
                  <to>
                    <xdr:col>8</xdr:col>
                    <xdr:colOff>581025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H374"/>
  <sheetViews>
    <sheetView workbookViewId="0">
      <selection activeCell="E7" sqref="E7"/>
    </sheetView>
  </sheetViews>
  <sheetFormatPr defaultRowHeight="15" x14ac:dyDescent="0.25"/>
  <cols>
    <col min="1" max="4" width="9.140625" style="1"/>
    <col min="5" max="5" width="19" style="1" bestFit="1" customWidth="1"/>
    <col min="6" max="6" width="6.140625" style="1" bestFit="1" customWidth="1"/>
    <col min="7" max="8" width="18.5703125" style="1" bestFit="1" customWidth="1"/>
    <col min="9" max="16384" width="9.140625" style="1"/>
  </cols>
  <sheetData>
    <row r="3" spans="2:8" x14ac:dyDescent="0.25">
      <c r="B3" s="24" t="s">
        <v>9</v>
      </c>
    </row>
    <row r="5" spans="2:8" ht="15.75" thickBot="1" x14ac:dyDescent="0.3"/>
    <row r="6" spans="2:8" ht="15.75" thickBot="1" x14ac:dyDescent="0.3">
      <c r="B6" s="12" t="s">
        <v>10</v>
      </c>
      <c r="C6" s="13" t="s">
        <v>11</v>
      </c>
      <c r="D6" s="13" t="s">
        <v>12</v>
      </c>
      <c r="E6" s="13" t="s">
        <v>13</v>
      </c>
      <c r="F6" s="13" t="s">
        <v>18</v>
      </c>
      <c r="G6" s="13" t="s">
        <v>16</v>
      </c>
      <c r="H6" s="14" t="s">
        <v>17</v>
      </c>
    </row>
    <row r="7" spans="2:8" x14ac:dyDescent="0.25">
      <c r="B7" s="25">
        <v>42583</v>
      </c>
      <c r="C7" s="7">
        <v>17139.2</v>
      </c>
      <c r="D7" s="7">
        <v>17808.5</v>
      </c>
      <c r="E7" s="29">
        <f t="shared" ref="E7:E70" si="0">(D7-C7)/C7</f>
        <v>3.9050830843913323E-2</v>
      </c>
      <c r="F7" s="32">
        <f t="shared" ref="F7:F70" si="1">AVERAGE($E$7:$E$374)</f>
        <v>1.6827585946139311E-3</v>
      </c>
      <c r="G7" s="32">
        <f>F7+'Without VBA'!$F$12*_xlfn.STDEV.P($E$7:$E$374)</f>
        <v>0.16157057372050279</v>
      </c>
      <c r="H7" s="31">
        <f>F7-'Without VBA'!$F$12*_xlfn.STDEV.P($E$7:$E$374)</f>
        <v>-0.15820505653127495</v>
      </c>
    </row>
    <row r="8" spans="2:8" x14ac:dyDescent="0.25">
      <c r="B8" s="25">
        <v>42552</v>
      </c>
      <c r="C8" s="7">
        <v>16465.5</v>
      </c>
      <c r="D8" s="7">
        <v>17282.900000000001</v>
      </c>
      <c r="E8" s="29">
        <f t="shared" si="0"/>
        <v>4.9643193343658042E-2</v>
      </c>
      <c r="F8" s="29">
        <f t="shared" si="1"/>
        <v>1.6827585946139311E-3</v>
      </c>
      <c r="G8" s="29">
        <f>F8+'Without VBA'!$F$12*_xlfn.STDEV.P($E$7:$E$374)</f>
        <v>0.16157057372050279</v>
      </c>
      <c r="H8" s="26">
        <f>F8-'Without VBA'!$F$12*_xlfn.STDEV.P($E$7:$E$374)</f>
        <v>-0.15820505653127495</v>
      </c>
    </row>
    <row r="9" spans="2:8" x14ac:dyDescent="0.25">
      <c r="B9" s="25">
        <v>42523</v>
      </c>
      <c r="C9" s="7">
        <v>17076.3</v>
      </c>
      <c r="D9" s="7">
        <v>16271.1</v>
      </c>
      <c r="E9" s="29">
        <f t="shared" si="0"/>
        <v>-4.7153071801268362E-2</v>
      </c>
      <c r="F9" s="29">
        <f t="shared" si="1"/>
        <v>1.6827585946139311E-3</v>
      </c>
      <c r="G9" s="29">
        <f>F9+'Without VBA'!$F$12*_xlfn.STDEV.P($E$7:$E$374)</f>
        <v>0.16157057372050279</v>
      </c>
      <c r="H9" s="26">
        <f>F9-'Without VBA'!$F$12*_xlfn.STDEV.P($E$7:$E$374)</f>
        <v>-0.15820505653127495</v>
      </c>
    </row>
    <row r="10" spans="2:8" x14ac:dyDescent="0.25">
      <c r="B10" s="25">
        <v>42493</v>
      </c>
      <c r="C10" s="7">
        <v>16730.099999999999</v>
      </c>
      <c r="D10" s="7">
        <v>17184.7</v>
      </c>
      <c r="E10" s="29">
        <f t="shared" si="0"/>
        <v>2.7172581156119941E-2</v>
      </c>
      <c r="F10" s="29">
        <f t="shared" si="1"/>
        <v>1.6827585946139311E-3</v>
      </c>
      <c r="G10" s="29">
        <f>F10+'Without VBA'!$F$12*_xlfn.STDEV.P($E$7:$E$374)</f>
        <v>0.16157057372050279</v>
      </c>
      <c r="H10" s="26">
        <f>F10-'Without VBA'!$F$12*_xlfn.STDEV.P($E$7:$E$374)</f>
        <v>-0.15820505653127495</v>
      </c>
    </row>
    <row r="11" spans="2:8" x14ac:dyDescent="0.25">
      <c r="B11" s="25">
        <v>42461</v>
      </c>
      <c r="C11" s="7">
        <v>16843.7</v>
      </c>
      <c r="D11" s="7">
        <v>16801.599999999999</v>
      </c>
      <c r="E11" s="29">
        <f t="shared" si="0"/>
        <v>-2.4994508332493561E-3</v>
      </c>
      <c r="F11" s="29">
        <f t="shared" si="1"/>
        <v>1.6827585946139311E-3</v>
      </c>
      <c r="G11" s="29">
        <f>F11+'Without VBA'!$F$12*_xlfn.STDEV.P($E$7:$E$374)</f>
        <v>0.16157057372050279</v>
      </c>
      <c r="H11" s="26">
        <f>F11-'Without VBA'!$F$12*_xlfn.STDEV.P($E$7:$E$374)</f>
        <v>-0.15820505653127495</v>
      </c>
    </row>
    <row r="12" spans="2:8" x14ac:dyDescent="0.25">
      <c r="B12" s="25">
        <v>42430</v>
      </c>
      <c r="C12" s="7">
        <v>16789.5</v>
      </c>
      <c r="D12" s="7">
        <v>16926.099999999999</v>
      </c>
      <c r="E12" s="29">
        <f t="shared" si="0"/>
        <v>8.1360374043300005E-3</v>
      </c>
      <c r="F12" s="29">
        <f t="shared" si="1"/>
        <v>1.6827585946139311E-3</v>
      </c>
      <c r="G12" s="29">
        <f>F12+'Without VBA'!$F$12*_xlfn.STDEV.P($E$7:$E$374)</f>
        <v>0.16157057372050279</v>
      </c>
      <c r="H12" s="26">
        <f>F12-'Without VBA'!$F$12*_xlfn.STDEV.P($E$7:$E$374)</f>
        <v>-0.15820505653127495</v>
      </c>
    </row>
    <row r="13" spans="2:8" x14ac:dyDescent="0.25">
      <c r="B13" s="25">
        <v>42401</v>
      </c>
      <c r="C13" s="7">
        <v>16489.3</v>
      </c>
      <c r="D13" s="7">
        <v>16603.099999999999</v>
      </c>
      <c r="E13" s="29">
        <f t="shared" si="0"/>
        <v>6.9014451796012731E-3</v>
      </c>
      <c r="F13" s="29">
        <f t="shared" si="1"/>
        <v>1.6827585946139311E-3</v>
      </c>
      <c r="G13" s="29">
        <f>F13+'Without VBA'!$F$12*_xlfn.STDEV.P($E$7:$E$374)</f>
        <v>0.16157057372050279</v>
      </c>
      <c r="H13" s="26">
        <f>F13-'Without VBA'!$F$12*_xlfn.STDEV.P($E$7:$E$374)</f>
        <v>-0.15820505653127495</v>
      </c>
    </row>
    <row r="14" spans="2:8" x14ac:dyDescent="0.25">
      <c r="B14" s="25">
        <v>42374</v>
      </c>
      <c r="C14" s="7">
        <v>17205</v>
      </c>
      <c r="D14" s="7">
        <v>16487.7</v>
      </c>
      <c r="E14" s="29">
        <f t="shared" si="0"/>
        <v>-4.1691368788142939E-2</v>
      </c>
      <c r="F14" s="29">
        <f t="shared" si="1"/>
        <v>1.6827585946139311E-3</v>
      </c>
      <c r="G14" s="29">
        <f>F14+'Without VBA'!$F$12*_xlfn.STDEV.P($E$7:$E$374)</f>
        <v>0.16157057372050279</v>
      </c>
      <c r="H14" s="26">
        <f>F14-'Without VBA'!$F$12*_xlfn.STDEV.P($E$7:$E$374)</f>
        <v>-0.15820505653127495</v>
      </c>
    </row>
    <row r="15" spans="2:8" x14ac:dyDescent="0.25">
      <c r="B15" s="25">
        <v>42339</v>
      </c>
      <c r="C15" s="7">
        <v>17516.8</v>
      </c>
      <c r="D15" s="7">
        <v>17429.8</v>
      </c>
      <c r="E15" s="29">
        <f t="shared" si="0"/>
        <v>-4.9666605772743884E-3</v>
      </c>
      <c r="F15" s="29">
        <f t="shared" si="1"/>
        <v>1.6827585946139311E-3</v>
      </c>
      <c r="G15" s="29">
        <f>F15+'Without VBA'!$F$12*_xlfn.STDEV.P($E$7:$E$374)</f>
        <v>0.16157057372050279</v>
      </c>
      <c r="H15" s="26">
        <f>F15-'Without VBA'!$F$12*_xlfn.STDEV.P($E$7:$E$374)</f>
        <v>-0.15820505653127495</v>
      </c>
    </row>
    <row r="16" spans="2:8" x14ac:dyDescent="0.25">
      <c r="B16" s="25">
        <v>42310</v>
      </c>
      <c r="C16" s="7">
        <v>17167.400000000001</v>
      </c>
      <c r="D16" s="7">
        <v>17420.7</v>
      </c>
      <c r="E16" s="29">
        <f t="shared" si="0"/>
        <v>1.4754709507554973E-2</v>
      </c>
      <c r="F16" s="29">
        <f t="shared" si="1"/>
        <v>1.6827585946139311E-3</v>
      </c>
      <c r="G16" s="29">
        <f>F16+'Without VBA'!$F$12*_xlfn.STDEV.P($E$7:$E$374)</f>
        <v>0.16157057372050279</v>
      </c>
      <c r="H16" s="26">
        <f>F16-'Without VBA'!$F$12*_xlfn.STDEV.P($E$7:$E$374)</f>
        <v>-0.15820505653127495</v>
      </c>
    </row>
    <row r="17" spans="2:8" x14ac:dyDescent="0.25">
      <c r="B17" s="25">
        <v>42279</v>
      </c>
      <c r="C17" s="7">
        <v>16796.099999999999</v>
      </c>
      <c r="D17" s="7">
        <v>17117.2</v>
      </c>
      <c r="E17" s="29">
        <f t="shared" si="0"/>
        <v>1.9117533236882502E-2</v>
      </c>
      <c r="F17" s="29">
        <f t="shared" si="1"/>
        <v>1.6827585946139311E-3</v>
      </c>
      <c r="G17" s="29">
        <f>F17+'Without VBA'!$F$12*_xlfn.STDEV.P($E$7:$E$374)</f>
        <v>0.16157057372050279</v>
      </c>
      <c r="H17" s="26">
        <f>F17-'Without VBA'!$F$12*_xlfn.STDEV.P($E$7:$E$374)</f>
        <v>-0.15820505653127495</v>
      </c>
    </row>
    <row r="18" spans="2:8" x14ac:dyDescent="0.25">
      <c r="B18" s="25">
        <v>42248</v>
      </c>
      <c r="C18" s="7">
        <v>16840.400000000001</v>
      </c>
      <c r="D18" s="7">
        <v>16683</v>
      </c>
      <c r="E18" s="29">
        <f t="shared" si="0"/>
        <v>-9.3465713403482961E-3</v>
      </c>
      <c r="F18" s="29">
        <f t="shared" si="1"/>
        <v>1.6827585946139311E-3</v>
      </c>
      <c r="G18" s="29">
        <f>F18+'Without VBA'!$F$12*_xlfn.STDEV.P($E$7:$E$374)</f>
        <v>0.16157057372050279</v>
      </c>
      <c r="H18" s="26">
        <f>F18-'Without VBA'!$F$12*_xlfn.STDEV.P($E$7:$E$374)</f>
        <v>-0.15820505653127495</v>
      </c>
    </row>
    <row r="19" spans="2:8" x14ac:dyDescent="0.25">
      <c r="B19" s="25">
        <v>42219</v>
      </c>
      <c r="C19" s="7">
        <v>17670.099999999999</v>
      </c>
      <c r="D19" s="7">
        <v>17106.400000000001</v>
      </c>
      <c r="E19" s="29">
        <f t="shared" si="0"/>
        <v>-3.1901347473981309E-2</v>
      </c>
      <c r="F19" s="29">
        <f t="shared" si="1"/>
        <v>1.6827585946139311E-3</v>
      </c>
      <c r="G19" s="29">
        <f>F19+'Without VBA'!$F$12*_xlfn.STDEV.P($E$7:$E$374)</f>
        <v>0.16157057372050279</v>
      </c>
      <c r="H19" s="26">
        <f>F19-'Without VBA'!$F$12*_xlfn.STDEV.P($E$7:$E$374)</f>
        <v>-0.15820505653127495</v>
      </c>
    </row>
    <row r="20" spans="2:8" x14ac:dyDescent="0.25">
      <c r="B20" s="25">
        <v>42186</v>
      </c>
      <c r="C20" s="7">
        <v>17717</v>
      </c>
      <c r="D20" s="7">
        <v>17677.400000000001</v>
      </c>
      <c r="E20" s="29">
        <f t="shared" si="0"/>
        <v>-2.235141389625701E-3</v>
      </c>
      <c r="F20" s="29">
        <f t="shared" si="1"/>
        <v>1.6827585946139311E-3</v>
      </c>
      <c r="G20" s="29">
        <f>F20+'Without VBA'!$F$12*_xlfn.STDEV.P($E$7:$E$374)</f>
        <v>0.16157057372050279</v>
      </c>
      <c r="H20" s="26">
        <f>F20-'Without VBA'!$F$12*_xlfn.STDEV.P($E$7:$E$374)</f>
        <v>-0.15820505653127495</v>
      </c>
    </row>
    <row r="21" spans="2:8" x14ac:dyDescent="0.25">
      <c r="B21" s="25">
        <v>42156</v>
      </c>
      <c r="C21" s="7">
        <v>18220.2</v>
      </c>
      <c r="D21" s="7">
        <v>17531.5</v>
      </c>
      <c r="E21" s="29">
        <f t="shared" si="0"/>
        <v>-3.7798706929671501E-2</v>
      </c>
      <c r="F21" s="29">
        <f t="shared" si="1"/>
        <v>1.6827585946139311E-3</v>
      </c>
      <c r="G21" s="29">
        <f>F21+'Without VBA'!$F$12*_xlfn.STDEV.P($E$7:$E$374)</f>
        <v>0.16157057372050279</v>
      </c>
      <c r="H21" s="26">
        <f>F21-'Without VBA'!$F$12*_xlfn.STDEV.P($E$7:$E$374)</f>
        <v>-0.15820505653127495</v>
      </c>
    </row>
    <row r="22" spans="2:8" x14ac:dyDescent="0.25">
      <c r="B22" s="25">
        <v>42125</v>
      </c>
      <c r="C22" s="7">
        <v>17468.3</v>
      </c>
      <c r="D22" s="7">
        <v>18154.400000000001</v>
      </c>
      <c r="E22" s="29">
        <f t="shared" si="0"/>
        <v>3.9276861514858472E-2</v>
      </c>
      <c r="F22" s="29">
        <f t="shared" si="1"/>
        <v>1.6827585946139311E-3</v>
      </c>
      <c r="G22" s="29">
        <f>F22+'Without VBA'!$F$12*_xlfn.STDEV.P($E$7:$E$374)</f>
        <v>0.16157057372050279</v>
      </c>
      <c r="H22" s="26">
        <f>F22-'Without VBA'!$F$12*_xlfn.STDEV.P($E$7:$E$374)</f>
        <v>-0.15820505653127495</v>
      </c>
    </row>
    <row r="23" spans="2:8" x14ac:dyDescent="0.25">
      <c r="B23" s="25">
        <v>42095</v>
      </c>
      <c r="C23" s="7">
        <v>17123.400000000001</v>
      </c>
      <c r="D23" s="7">
        <v>17474.599999999999</v>
      </c>
      <c r="E23" s="29">
        <f t="shared" si="0"/>
        <v>2.0509945454757646E-2</v>
      </c>
      <c r="F23" s="29">
        <f t="shared" si="1"/>
        <v>1.6827585946139311E-3</v>
      </c>
      <c r="G23" s="29">
        <f>F23+'Without VBA'!$F$12*_xlfn.STDEV.P($E$7:$E$374)</f>
        <v>0.16157057372050279</v>
      </c>
      <c r="H23" s="26">
        <f>F23-'Without VBA'!$F$12*_xlfn.STDEV.P($E$7:$E$374)</f>
        <v>-0.15820505653127495</v>
      </c>
    </row>
    <row r="24" spans="2:8" x14ac:dyDescent="0.25">
      <c r="B24" s="25">
        <v>42065</v>
      </c>
      <c r="C24" s="7">
        <v>17249.900000000001</v>
      </c>
      <c r="D24" s="7">
        <v>17090.599999999999</v>
      </c>
      <c r="E24" s="29">
        <f t="shared" si="0"/>
        <v>-9.2348361439778138E-3</v>
      </c>
      <c r="F24" s="29">
        <f t="shared" si="1"/>
        <v>1.6827585946139311E-3</v>
      </c>
      <c r="G24" s="29">
        <f>F24+'Without VBA'!$F$12*_xlfn.STDEV.P($E$7:$E$374)</f>
        <v>0.16157057372050279</v>
      </c>
      <c r="H24" s="26">
        <f>F24-'Without VBA'!$F$12*_xlfn.STDEV.P($E$7:$E$374)</f>
        <v>-0.15820505653127495</v>
      </c>
    </row>
    <row r="25" spans="2:8" x14ac:dyDescent="0.25">
      <c r="B25" s="25">
        <v>42037</v>
      </c>
      <c r="C25" s="7">
        <v>16355.6</v>
      </c>
      <c r="D25" s="7">
        <v>17273.8</v>
      </c>
      <c r="E25" s="29">
        <f t="shared" si="0"/>
        <v>5.6139793098388249E-2</v>
      </c>
      <c r="F25" s="29">
        <f t="shared" si="1"/>
        <v>1.6827585946139311E-3</v>
      </c>
      <c r="G25" s="29">
        <f>F25+'Without VBA'!$F$12*_xlfn.STDEV.P($E$7:$E$374)</f>
        <v>0.16157057372050279</v>
      </c>
      <c r="H25" s="26">
        <f>F25-'Without VBA'!$F$12*_xlfn.STDEV.P($E$7:$E$374)</f>
        <v>-0.15820505653127495</v>
      </c>
    </row>
    <row r="26" spans="2:8" x14ac:dyDescent="0.25">
      <c r="B26" s="25">
        <v>42006</v>
      </c>
      <c r="C26" s="7">
        <v>16052</v>
      </c>
      <c r="D26" s="7">
        <v>16305.8</v>
      </c>
      <c r="E26" s="29">
        <f t="shared" si="0"/>
        <v>1.5811113879890312E-2</v>
      </c>
      <c r="F26" s="29">
        <f t="shared" si="1"/>
        <v>1.6827585946139311E-3</v>
      </c>
      <c r="G26" s="29">
        <f>F26+'Without VBA'!$F$12*_xlfn.STDEV.P($E$7:$E$374)</f>
        <v>0.16157057372050279</v>
      </c>
      <c r="H26" s="26">
        <f>F26-'Without VBA'!$F$12*_xlfn.STDEV.P($E$7:$E$374)</f>
        <v>-0.15820505653127495</v>
      </c>
    </row>
    <row r="27" spans="2:8" x14ac:dyDescent="0.25">
      <c r="B27" s="25">
        <v>41974</v>
      </c>
      <c r="C27" s="7">
        <v>17052.3</v>
      </c>
      <c r="D27" s="7">
        <v>16085.4</v>
      </c>
      <c r="E27" s="29">
        <f t="shared" si="0"/>
        <v>-5.6702028465368287E-2</v>
      </c>
      <c r="F27" s="29">
        <f t="shared" si="1"/>
        <v>1.6827585946139311E-3</v>
      </c>
      <c r="G27" s="29">
        <f>F27+'Without VBA'!$F$12*_xlfn.STDEV.P($E$7:$E$374)</f>
        <v>0.16157057372050279</v>
      </c>
      <c r="H27" s="26">
        <f>F27-'Without VBA'!$F$12*_xlfn.STDEV.P($E$7:$E$374)</f>
        <v>-0.15820505653127495</v>
      </c>
    </row>
    <row r="28" spans="2:8" x14ac:dyDescent="0.25">
      <c r="B28" s="25">
        <v>41946</v>
      </c>
      <c r="C28" s="7">
        <v>16688.599999999999</v>
      </c>
      <c r="D28" s="7">
        <v>15851.8</v>
      </c>
      <c r="E28" s="29">
        <f t="shared" si="0"/>
        <v>-5.0142013110746217E-2</v>
      </c>
      <c r="F28" s="29">
        <f t="shared" si="1"/>
        <v>1.6827585946139311E-3</v>
      </c>
      <c r="G28" s="29">
        <f>F28+'Without VBA'!$F$12*_xlfn.STDEV.P($E$7:$E$374)</f>
        <v>0.16157057372050279</v>
      </c>
      <c r="H28" s="26">
        <f>F28-'Without VBA'!$F$12*_xlfn.STDEV.P($E$7:$E$374)</f>
        <v>-0.15820505653127495</v>
      </c>
    </row>
    <row r="29" spans="2:8" x14ac:dyDescent="0.25">
      <c r="B29" s="25">
        <v>41913</v>
      </c>
      <c r="C29" s="7">
        <v>16574</v>
      </c>
      <c r="D29" s="7">
        <v>15501.4</v>
      </c>
      <c r="E29" s="29">
        <f t="shared" si="0"/>
        <v>-6.471581995897191E-2</v>
      </c>
      <c r="F29" s="29">
        <f t="shared" si="1"/>
        <v>1.6827585946139311E-3</v>
      </c>
      <c r="G29" s="29">
        <f>F29+'Without VBA'!$F$12*_xlfn.STDEV.P($E$7:$E$374)</f>
        <v>0.16157057372050279</v>
      </c>
      <c r="H29" s="26">
        <f>F29-'Without VBA'!$F$12*_xlfn.STDEV.P($E$7:$E$374)</f>
        <v>-0.15820505653127495</v>
      </c>
    </row>
    <row r="30" spans="2:8" x14ac:dyDescent="0.25">
      <c r="B30" s="25">
        <v>41883</v>
      </c>
      <c r="C30" s="7">
        <v>17193.2</v>
      </c>
      <c r="D30" s="7">
        <v>15379.7</v>
      </c>
      <c r="E30" s="29">
        <f t="shared" si="0"/>
        <v>-0.10547774701626224</v>
      </c>
      <c r="F30" s="29">
        <f t="shared" si="1"/>
        <v>1.6827585946139311E-3</v>
      </c>
      <c r="G30" s="29">
        <f>F30+'Without VBA'!$F$12*_xlfn.STDEV.P($E$7:$E$374)</f>
        <v>0.16157057372050279</v>
      </c>
      <c r="H30" s="26">
        <f>F30-'Without VBA'!$F$12*_xlfn.STDEV.P($E$7:$E$374)</f>
        <v>-0.15820505653127495</v>
      </c>
    </row>
    <row r="31" spans="2:8" x14ac:dyDescent="0.25">
      <c r="B31" s="25">
        <v>41852</v>
      </c>
      <c r="C31" s="7">
        <v>16768.2</v>
      </c>
      <c r="D31" s="7">
        <v>15885.7</v>
      </c>
      <c r="E31" s="29">
        <f t="shared" si="0"/>
        <v>-5.2629381806037615E-2</v>
      </c>
      <c r="F31" s="29">
        <f t="shared" si="1"/>
        <v>1.6827585946139311E-3</v>
      </c>
      <c r="G31" s="29">
        <f>F31+'Without VBA'!$F$12*_xlfn.STDEV.P($E$7:$E$374)</f>
        <v>0.16157057372050279</v>
      </c>
      <c r="H31" s="26">
        <f>F31-'Without VBA'!$F$12*_xlfn.STDEV.P($E$7:$E$374)</f>
        <v>-0.15820505653127495</v>
      </c>
    </row>
    <row r="32" spans="2:8" x14ac:dyDescent="0.25">
      <c r="B32" s="25">
        <v>41821</v>
      </c>
      <c r="C32" s="7">
        <v>17055.7</v>
      </c>
      <c r="D32" s="7">
        <v>15495.6</v>
      </c>
      <c r="E32" s="29">
        <f t="shared" si="0"/>
        <v>-9.1470886565781548E-2</v>
      </c>
      <c r="F32" s="29">
        <f t="shared" si="1"/>
        <v>1.6827585946139311E-3</v>
      </c>
      <c r="G32" s="29">
        <f>F32+'Without VBA'!$F$12*_xlfn.STDEV.P($E$7:$E$374)</f>
        <v>0.16157057372050279</v>
      </c>
      <c r="H32" s="26">
        <f>F32-'Without VBA'!$F$12*_xlfn.STDEV.P($E$7:$E$374)</f>
        <v>-0.15820505653127495</v>
      </c>
    </row>
    <row r="33" spans="2:8" x14ac:dyDescent="0.25">
      <c r="B33" s="25">
        <v>41792</v>
      </c>
      <c r="C33" s="7">
        <v>17404.8</v>
      </c>
      <c r="D33" s="7">
        <v>15723.6</v>
      </c>
      <c r="E33" s="29">
        <f t="shared" si="0"/>
        <v>-9.6594043022614387E-2</v>
      </c>
      <c r="F33" s="29">
        <f t="shared" si="1"/>
        <v>1.6827585946139311E-3</v>
      </c>
      <c r="G33" s="29">
        <f>F33+'Without VBA'!$F$12*_xlfn.STDEV.P($E$7:$E$374)</f>
        <v>0.16157057372050279</v>
      </c>
      <c r="H33" s="26">
        <f>F33-'Without VBA'!$F$12*_xlfn.STDEV.P($E$7:$E$374)</f>
        <v>-0.15820505653127495</v>
      </c>
    </row>
    <row r="34" spans="2:8" x14ac:dyDescent="0.25">
      <c r="B34" s="25">
        <v>41760</v>
      </c>
      <c r="C34" s="7">
        <v>17228.2</v>
      </c>
      <c r="D34" s="7">
        <v>16010.2</v>
      </c>
      <c r="E34" s="29">
        <f t="shared" si="0"/>
        <v>-7.0698041582986038E-2</v>
      </c>
      <c r="F34" s="29">
        <f t="shared" si="1"/>
        <v>1.6827585946139311E-3</v>
      </c>
      <c r="G34" s="29">
        <f>F34+'Without VBA'!$F$12*_xlfn.STDEV.P($E$7:$E$374)</f>
        <v>0.16157057372050279</v>
      </c>
      <c r="H34" s="26">
        <f>F34-'Without VBA'!$F$12*_xlfn.STDEV.P($E$7:$E$374)</f>
        <v>-0.15820505653127495</v>
      </c>
    </row>
    <row r="35" spans="2:8" x14ac:dyDescent="0.25">
      <c r="B35" s="25">
        <v>41730</v>
      </c>
      <c r="C35" s="7">
        <v>17772.099999999999</v>
      </c>
      <c r="D35" s="7">
        <v>15817.2</v>
      </c>
      <c r="E35" s="29">
        <f t="shared" si="0"/>
        <v>-0.10999825569291181</v>
      </c>
      <c r="F35" s="29">
        <f t="shared" si="1"/>
        <v>1.6827585946139311E-3</v>
      </c>
      <c r="G35" s="29">
        <f>F35+'Without VBA'!$F$12*_xlfn.STDEV.P($E$7:$E$374)</f>
        <v>0.16157057372050279</v>
      </c>
      <c r="H35" s="26">
        <f>F35-'Without VBA'!$F$12*_xlfn.STDEV.P($E$7:$E$374)</f>
        <v>-0.15820505653127495</v>
      </c>
    </row>
    <row r="36" spans="2:8" x14ac:dyDescent="0.25">
      <c r="B36" s="25">
        <v>41701</v>
      </c>
      <c r="C36" s="7">
        <v>18294.7</v>
      </c>
      <c r="D36" s="7">
        <v>16273.7</v>
      </c>
      <c r="E36" s="29">
        <f t="shared" si="0"/>
        <v>-0.11046915226814323</v>
      </c>
      <c r="F36" s="29">
        <f t="shared" si="1"/>
        <v>1.6827585946139311E-3</v>
      </c>
      <c r="G36" s="29">
        <f>F36+'Without VBA'!$F$12*_xlfn.STDEV.P($E$7:$E$374)</f>
        <v>0.16157057372050279</v>
      </c>
      <c r="H36" s="26">
        <f>F36-'Without VBA'!$F$12*_xlfn.STDEV.P($E$7:$E$374)</f>
        <v>-0.15820505653127495</v>
      </c>
    </row>
    <row r="37" spans="2:8" x14ac:dyDescent="0.25">
      <c r="B37" s="25">
        <v>41673</v>
      </c>
      <c r="C37" s="7">
        <v>17077.5</v>
      </c>
      <c r="D37" s="7">
        <v>16726</v>
      </c>
      <c r="E37" s="29">
        <f t="shared" si="0"/>
        <v>-2.0582637973942323E-2</v>
      </c>
      <c r="F37" s="29">
        <f t="shared" si="1"/>
        <v>1.6827585946139311E-3</v>
      </c>
      <c r="G37" s="29">
        <f>F37+'Without VBA'!$F$12*_xlfn.STDEV.P($E$7:$E$374)</f>
        <v>0.16157057372050279</v>
      </c>
      <c r="H37" s="26">
        <f>F37-'Without VBA'!$F$12*_xlfn.STDEV.P($E$7:$E$374)</f>
        <v>-0.15820505653127495</v>
      </c>
    </row>
    <row r="38" spans="2:8" x14ac:dyDescent="0.25">
      <c r="B38" s="25">
        <v>41641</v>
      </c>
      <c r="C38" s="7">
        <v>17354.400000000001</v>
      </c>
      <c r="D38" s="7">
        <v>15674.4</v>
      </c>
      <c r="E38" s="29">
        <f t="shared" si="0"/>
        <v>-9.6805421103581896E-2</v>
      </c>
      <c r="F38" s="29">
        <f t="shared" si="1"/>
        <v>1.6827585946139311E-3</v>
      </c>
      <c r="G38" s="29">
        <f>F38+'Without VBA'!$F$12*_xlfn.STDEV.P($E$7:$E$374)</f>
        <v>0.16157057372050279</v>
      </c>
      <c r="H38" s="26">
        <f>F38-'Without VBA'!$F$12*_xlfn.STDEV.P($E$7:$E$374)</f>
        <v>-0.15820505653127495</v>
      </c>
    </row>
    <row r="39" spans="2:8" x14ac:dyDescent="0.25">
      <c r="B39" s="25">
        <v>41610</v>
      </c>
      <c r="C39" s="7">
        <v>16787.5</v>
      </c>
      <c r="D39" s="7">
        <v>15935.4</v>
      </c>
      <c r="E39" s="29">
        <f t="shared" si="0"/>
        <v>-5.0758004467609849E-2</v>
      </c>
      <c r="F39" s="29">
        <f t="shared" si="1"/>
        <v>1.6827585946139311E-3</v>
      </c>
      <c r="G39" s="29">
        <f>F39+'Without VBA'!$F$12*_xlfn.STDEV.P($E$7:$E$374)</f>
        <v>0.16157057372050279</v>
      </c>
      <c r="H39" s="26">
        <f>F39-'Without VBA'!$F$12*_xlfn.STDEV.P($E$7:$E$374)</f>
        <v>-0.15820505653127495</v>
      </c>
    </row>
    <row r="40" spans="2:8" x14ac:dyDescent="0.25">
      <c r="B40" s="25">
        <v>41579</v>
      </c>
      <c r="C40" s="7">
        <v>16785.900000000001</v>
      </c>
      <c r="D40" s="7">
        <v>15466.6</v>
      </c>
      <c r="E40" s="29">
        <f t="shared" si="0"/>
        <v>-7.8595726174944508E-2</v>
      </c>
      <c r="F40" s="29">
        <f t="shared" si="1"/>
        <v>1.6827585946139311E-3</v>
      </c>
      <c r="G40" s="29">
        <f>F40+'Without VBA'!$F$12*_xlfn.STDEV.P($E$7:$E$374)</f>
        <v>0.16157057372050279</v>
      </c>
      <c r="H40" s="26">
        <f>F40-'Without VBA'!$F$12*_xlfn.STDEV.P($E$7:$E$374)</f>
        <v>-0.15820505653127495</v>
      </c>
    </row>
    <row r="41" spans="2:8" x14ac:dyDescent="0.25">
      <c r="B41" s="25">
        <v>41548</v>
      </c>
      <c r="C41" s="7">
        <v>16150.8</v>
      </c>
      <c r="D41" s="7">
        <v>15480</v>
      </c>
      <c r="E41" s="29">
        <f t="shared" si="0"/>
        <v>-4.1533546325878551E-2</v>
      </c>
      <c r="F41" s="29">
        <f t="shared" si="1"/>
        <v>1.6827585946139311E-3</v>
      </c>
      <c r="G41" s="29">
        <f>F41+'Without VBA'!$F$12*_xlfn.STDEV.P($E$7:$E$374)</f>
        <v>0.16157057372050279</v>
      </c>
      <c r="H41" s="26">
        <f>F41-'Without VBA'!$F$12*_xlfn.STDEV.P($E$7:$E$374)</f>
        <v>-0.15820505653127495</v>
      </c>
    </row>
    <row r="42" spans="2:8" x14ac:dyDescent="0.25">
      <c r="B42" s="25">
        <v>41519</v>
      </c>
      <c r="C42" s="7">
        <v>15833.5</v>
      </c>
      <c r="D42" s="7">
        <v>14908.2</v>
      </c>
      <c r="E42" s="29">
        <f t="shared" si="0"/>
        <v>-5.8439384848580495E-2</v>
      </c>
      <c r="F42" s="29">
        <f t="shared" si="1"/>
        <v>1.6827585946139311E-3</v>
      </c>
      <c r="G42" s="29">
        <f>F42+'Without VBA'!$F$12*_xlfn.STDEV.P($E$7:$E$374)</f>
        <v>0.16157057372050279</v>
      </c>
      <c r="H42" s="26">
        <f>F42-'Without VBA'!$F$12*_xlfn.STDEV.P($E$7:$E$374)</f>
        <v>-0.15820505653127495</v>
      </c>
    </row>
    <row r="43" spans="2:8" x14ac:dyDescent="0.25">
      <c r="B43" s="25">
        <v>41487</v>
      </c>
      <c r="C43" s="7">
        <v>16067.2</v>
      </c>
      <c r="D43" s="7">
        <v>14625.2</v>
      </c>
      <c r="E43" s="29">
        <f t="shared" si="0"/>
        <v>-8.9748058155745866E-2</v>
      </c>
      <c r="F43" s="29">
        <f t="shared" si="1"/>
        <v>1.6827585946139311E-3</v>
      </c>
      <c r="G43" s="29">
        <f>F43+'Without VBA'!$F$12*_xlfn.STDEV.P($E$7:$E$374)</f>
        <v>0.16157057372050279</v>
      </c>
      <c r="H43" s="26">
        <f>F43-'Without VBA'!$F$12*_xlfn.STDEV.P($E$7:$E$374)</f>
        <v>-0.15820505653127495</v>
      </c>
    </row>
    <row r="44" spans="2:8" x14ac:dyDescent="0.25">
      <c r="B44" s="25">
        <v>41456</v>
      </c>
      <c r="C44" s="7">
        <v>14843.3</v>
      </c>
      <c r="D44" s="7">
        <v>14872.9</v>
      </c>
      <c r="E44" s="29">
        <f t="shared" si="0"/>
        <v>1.994165717865998E-3</v>
      </c>
      <c r="F44" s="29">
        <f t="shared" si="1"/>
        <v>1.6827585946139311E-3</v>
      </c>
      <c r="G44" s="29">
        <f>F44+'Without VBA'!$F$12*_xlfn.STDEV.P($E$7:$E$374)</f>
        <v>0.16157057372050279</v>
      </c>
      <c r="H44" s="26">
        <f>F44-'Without VBA'!$F$12*_xlfn.STDEV.P($E$7:$E$374)</f>
        <v>-0.15820505653127495</v>
      </c>
    </row>
    <row r="45" spans="2:8" x14ac:dyDescent="0.25">
      <c r="B45" s="25">
        <v>41428</v>
      </c>
      <c r="C45" s="7">
        <v>15415</v>
      </c>
      <c r="D45" s="7">
        <v>13798.2</v>
      </c>
      <c r="E45" s="29">
        <f t="shared" si="0"/>
        <v>-0.10488485241647741</v>
      </c>
      <c r="F45" s="29">
        <f t="shared" si="1"/>
        <v>1.6827585946139311E-3</v>
      </c>
      <c r="G45" s="29">
        <f>F45+'Without VBA'!$F$12*_xlfn.STDEV.P($E$7:$E$374)</f>
        <v>0.16157057372050279</v>
      </c>
      <c r="H45" s="26">
        <f>F45-'Without VBA'!$F$12*_xlfn.STDEV.P($E$7:$E$374)</f>
        <v>-0.15820505653127495</v>
      </c>
    </row>
    <row r="46" spans="2:8" x14ac:dyDescent="0.25">
      <c r="B46" s="25">
        <v>41395</v>
      </c>
      <c r="C46" s="7">
        <v>14959</v>
      </c>
      <c r="D46" s="7">
        <v>14350.9</v>
      </c>
      <c r="E46" s="29">
        <f t="shared" si="0"/>
        <v>-4.0651113042315688E-2</v>
      </c>
      <c r="F46" s="29">
        <f t="shared" si="1"/>
        <v>1.6827585946139311E-3</v>
      </c>
      <c r="G46" s="29">
        <f>F46+'Without VBA'!$F$12*_xlfn.STDEV.P($E$7:$E$374)</f>
        <v>0.16157057372050279</v>
      </c>
      <c r="H46" s="26">
        <f>F46-'Without VBA'!$F$12*_xlfn.STDEV.P($E$7:$E$374)</f>
        <v>-0.15820505653127495</v>
      </c>
    </row>
    <row r="47" spans="2:8" x14ac:dyDescent="0.25">
      <c r="B47" s="25">
        <v>41366</v>
      </c>
      <c r="C47" s="7">
        <v>14938.7</v>
      </c>
      <c r="D47" s="7">
        <v>13949.9</v>
      </c>
      <c r="E47" s="29">
        <f t="shared" si="0"/>
        <v>-6.6190498503885947E-2</v>
      </c>
      <c r="F47" s="29">
        <f t="shared" si="1"/>
        <v>1.6827585946139311E-3</v>
      </c>
      <c r="G47" s="29">
        <f>F47+'Without VBA'!$F$12*_xlfn.STDEV.P($E$7:$E$374)</f>
        <v>0.16157057372050279</v>
      </c>
      <c r="H47" s="26">
        <f>F47-'Without VBA'!$F$12*_xlfn.STDEV.P($E$7:$E$374)</f>
        <v>-0.15820505653127495</v>
      </c>
    </row>
    <row r="48" spans="2:8" x14ac:dyDescent="0.25">
      <c r="B48" s="25">
        <v>41334</v>
      </c>
      <c r="C48" s="7">
        <v>14676</v>
      </c>
      <c r="D48" s="7">
        <v>13923</v>
      </c>
      <c r="E48" s="29">
        <f t="shared" si="0"/>
        <v>-5.1308258381030251E-2</v>
      </c>
      <c r="F48" s="29">
        <f t="shared" si="1"/>
        <v>1.6827585946139311E-3</v>
      </c>
      <c r="G48" s="29">
        <f>F48+'Without VBA'!$F$12*_xlfn.STDEV.P($E$7:$E$374)</f>
        <v>0.16157057372050279</v>
      </c>
      <c r="H48" s="26">
        <f>F48-'Without VBA'!$F$12*_xlfn.STDEV.P($E$7:$E$374)</f>
        <v>-0.15820505653127495</v>
      </c>
    </row>
    <row r="49" spans="2:8" x14ac:dyDescent="0.25">
      <c r="B49" s="25">
        <v>41306</v>
      </c>
      <c r="C49" s="7">
        <v>13907.8</v>
      </c>
      <c r="D49" s="7">
        <v>13704</v>
      </c>
      <c r="E49" s="29">
        <f t="shared" si="0"/>
        <v>-1.4653647593436726E-2</v>
      </c>
      <c r="F49" s="29">
        <f t="shared" si="1"/>
        <v>1.6827585946139311E-3</v>
      </c>
      <c r="G49" s="29">
        <f>F49+'Without VBA'!$F$12*_xlfn.STDEV.P($E$7:$E$374)</f>
        <v>0.16157057372050279</v>
      </c>
      <c r="H49" s="26">
        <f>F49-'Without VBA'!$F$12*_xlfn.STDEV.P($E$7:$E$374)</f>
        <v>-0.15820505653127495</v>
      </c>
    </row>
    <row r="50" spans="2:8" x14ac:dyDescent="0.25">
      <c r="B50" s="25">
        <v>41276</v>
      </c>
      <c r="C50" s="7">
        <v>13216.8</v>
      </c>
      <c r="D50" s="7">
        <v>13030.5</v>
      </c>
      <c r="E50" s="29">
        <f t="shared" si="0"/>
        <v>-1.4095696386417233E-2</v>
      </c>
      <c r="F50" s="29">
        <f t="shared" si="1"/>
        <v>1.6827585946139311E-3</v>
      </c>
      <c r="G50" s="29">
        <f>F50+'Without VBA'!$F$12*_xlfn.STDEV.P($E$7:$E$374)</f>
        <v>0.16157057372050279</v>
      </c>
      <c r="H50" s="26">
        <f>F50-'Without VBA'!$F$12*_xlfn.STDEV.P($E$7:$E$374)</f>
        <v>-0.15820505653127495</v>
      </c>
    </row>
    <row r="51" spans="2:8" x14ac:dyDescent="0.25">
      <c r="B51" s="25">
        <v>41246</v>
      </c>
      <c r="C51" s="7">
        <v>12027.4</v>
      </c>
      <c r="D51" s="7">
        <v>12375</v>
      </c>
      <c r="E51" s="29">
        <f t="shared" si="0"/>
        <v>2.8900676788000762E-2</v>
      </c>
      <c r="F51" s="29">
        <f t="shared" si="1"/>
        <v>1.6827585946139311E-3</v>
      </c>
      <c r="G51" s="29">
        <f>F51+'Without VBA'!$F$12*_xlfn.STDEV.P($E$7:$E$374)</f>
        <v>0.16157057372050279</v>
      </c>
      <c r="H51" s="26">
        <f>F51-'Without VBA'!$F$12*_xlfn.STDEV.P($E$7:$E$374)</f>
        <v>-0.15820505653127495</v>
      </c>
    </row>
    <row r="52" spans="2:8" x14ac:dyDescent="0.25">
      <c r="B52" s="25">
        <v>41214</v>
      </c>
      <c r="C52" s="7">
        <v>12091.8</v>
      </c>
      <c r="D52" s="7">
        <v>12034.2</v>
      </c>
      <c r="E52" s="29">
        <f t="shared" si="0"/>
        <v>-4.7635587753683114E-3</v>
      </c>
      <c r="F52" s="29">
        <f t="shared" si="1"/>
        <v>1.6827585946139311E-3</v>
      </c>
      <c r="G52" s="29">
        <f>F52+'Without VBA'!$F$12*_xlfn.STDEV.P($E$7:$E$374)</f>
        <v>0.16157057372050279</v>
      </c>
      <c r="H52" s="26">
        <f>F52-'Without VBA'!$F$12*_xlfn.STDEV.P($E$7:$E$374)</f>
        <v>-0.15820505653127495</v>
      </c>
    </row>
    <row r="53" spans="2:8" x14ac:dyDescent="0.25">
      <c r="B53" s="25">
        <v>41183</v>
      </c>
      <c r="C53" s="7">
        <v>11867.5</v>
      </c>
      <c r="D53" s="7">
        <v>11935</v>
      </c>
      <c r="E53" s="29">
        <f t="shared" si="0"/>
        <v>5.6878028228354747E-3</v>
      </c>
      <c r="F53" s="29">
        <f t="shared" si="1"/>
        <v>1.6827585946139311E-3</v>
      </c>
      <c r="G53" s="29">
        <f>F53+'Without VBA'!$F$12*_xlfn.STDEV.P($E$7:$E$374)</f>
        <v>0.16157057372050279</v>
      </c>
      <c r="H53" s="26">
        <f>F53-'Without VBA'!$F$12*_xlfn.STDEV.P($E$7:$E$374)</f>
        <v>-0.15820505653127495</v>
      </c>
    </row>
    <row r="54" spans="2:8" x14ac:dyDescent="0.25">
      <c r="B54" s="25">
        <v>41155</v>
      </c>
      <c r="C54" s="7">
        <v>11503.1</v>
      </c>
      <c r="D54" s="7">
        <v>11734.1</v>
      </c>
      <c r="E54" s="29">
        <f t="shared" si="0"/>
        <v>2.0081543236171118E-2</v>
      </c>
      <c r="F54" s="29">
        <f t="shared" si="1"/>
        <v>1.6827585946139311E-3</v>
      </c>
      <c r="G54" s="29">
        <f>F54+'Without VBA'!$F$12*_xlfn.STDEV.P($E$7:$E$374)</f>
        <v>0.16157057372050279</v>
      </c>
      <c r="H54" s="26">
        <f>F54-'Without VBA'!$F$12*_xlfn.STDEV.P($E$7:$E$374)</f>
        <v>-0.15820505653127495</v>
      </c>
    </row>
    <row r="55" spans="2:8" x14ac:dyDescent="0.25">
      <c r="B55" s="25">
        <v>41122</v>
      </c>
      <c r="C55" s="7">
        <v>11186.2</v>
      </c>
      <c r="D55" s="7">
        <v>11410.2</v>
      </c>
      <c r="E55" s="29">
        <f t="shared" si="0"/>
        <v>2.0024673258121614E-2</v>
      </c>
      <c r="F55" s="29">
        <f t="shared" si="1"/>
        <v>1.6827585946139311E-3</v>
      </c>
      <c r="G55" s="29">
        <f>F55+'Without VBA'!$F$12*_xlfn.STDEV.P($E$7:$E$374)</f>
        <v>0.16157057372050279</v>
      </c>
      <c r="H55" s="26">
        <f>F55-'Without VBA'!$F$12*_xlfn.STDEV.P($E$7:$E$374)</f>
        <v>-0.15820505653127495</v>
      </c>
    </row>
    <row r="56" spans="2:8" x14ac:dyDescent="0.25">
      <c r="B56" s="25">
        <v>41092</v>
      </c>
      <c r="C56" s="7">
        <v>11093.5</v>
      </c>
      <c r="D56" s="7">
        <v>11136.7</v>
      </c>
      <c r="E56" s="29">
        <f t="shared" si="0"/>
        <v>3.8941722630369789E-3</v>
      </c>
      <c r="F56" s="29">
        <f t="shared" si="1"/>
        <v>1.6827585946139311E-3</v>
      </c>
      <c r="G56" s="29">
        <f>F56+'Without VBA'!$F$12*_xlfn.STDEV.P($E$7:$E$374)</f>
        <v>0.16157057372050279</v>
      </c>
      <c r="H56" s="26">
        <f>F56-'Without VBA'!$F$12*_xlfn.STDEV.P($E$7:$E$374)</f>
        <v>-0.15820505653127495</v>
      </c>
    </row>
    <row r="57" spans="2:8" x14ac:dyDescent="0.25">
      <c r="B57" s="25">
        <v>41061</v>
      </c>
      <c r="C57" s="7">
        <v>10346.700000000001</v>
      </c>
      <c r="D57" s="7">
        <v>10932.1</v>
      </c>
      <c r="E57" s="29">
        <f t="shared" si="0"/>
        <v>5.6578425971565774E-2</v>
      </c>
      <c r="F57" s="29">
        <f t="shared" si="1"/>
        <v>1.6827585946139311E-3</v>
      </c>
      <c r="G57" s="29">
        <f>F57+'Without VBA'!$F$12*_xlfn.STDEV.P($E$7:$E$374)</f>
        <v>0.16157057372050279</v>
      </c>
      <c r="H57" s="26">
        <f>F57-'Without VBA'!$F$12*_xlfn.STDEV.P($E$7:$E$374)</f>
        <v>-0.15820505653127495</v>
      </c>
    </row>
    <row r="58" spans="2:8" x14ac:dyDescent="0.25">
      <c r="B58" s="25">
        <v>41030</v>
      </c>
      <c r="C58" s="7">
        <v>11503.9</v>
      </c>
      <c r="D58" s="7">
        <v>10558.2</v>
      </c>
      <c r="E58" s="29">
        <f t="shared" si="0"/>
        <v>-8.220690374568615E-2</v>
      </c>
      <c r="F58" s="29">
        <f t="shared" si="1"/>
        <v>1.6827585946139311E-3</v>
      </c>
      <c r="G58" s="29">
        <f>F58+'Without VBA'!$F$12*_xlfn.STDEV.P($E$7:$E$374)</f>
        <v>0.16157057372050279</v>
      </c>
      <c r="H58" s="26">
        <f>F58-'Without VBA'!$F$12*_xlfn.STDEV.P($E$7:$E$374)</f>
        <v>-0.15820505653127495</v>
      </c>
    </row>
    <row r="59" spans="2:8" x14ac:dyDescent="0.25">
      <c r="B59" s="25">
        <v>41001</v>
      </c>
      <c r="C59" s="7">
        <v>11655.1</v>
      </c>
      <c r="D59" s="7">
        <v>11417.6</v>
      </c>
      <c r="E59" s="29">
        <f t="shared" si="0"/>
        <v>-2.0377345539720808E-2</v>
      </c>
      <c r="F59" s="29">
        <f t="shared" si="1"/>
        <v>1.6827585946139311E-3</v>
      </c>
      <c r="G59" s="29">
        <f>F59+'Without VBA'!$F$12*_xlfn.STDEV.P($E$7:$E$374)</f>
        <v>0.16157057372050279</v>
      </c>
      <c r="H59" s="26">
        <f>F59-'Without VBA'!$F$12*_xlfn.STDEV.P($E$7:$E$374)</f>
        <v>-0.15820505653127495</v>
      </c>
    </row>
    <row r="60" spans="2:8" x14ac:dyDescent="0.25">
      <c r="B60" s="25">
        <v>40969</v>
      </c>
      <c r="C60" s="7">
        <v>11535.4</v>
      </c>
      <c r="D60" s="7">
        <v>11538.9</v>
      </c>
      <c r="E60" s="29">
        <f t="shared" si="0"/>
        <v>3.0341383913865146E-4</v>
      </c>
      <c r="F60" s="29">
        <f t="shared" si="1"/>
        <v>1.6827585946139311E-3</v>
      </c>
      <c r="G60" s="29">
        <f>F60+'Without VBA'!$F$12*_xlfn.STDEV.P($E$7:$E$374)</f>
        <v>0.16157057372050279</v>
      </c>
      <c r="H60" s="26">
        <f>F60-'Without VBA'!$F$12*_xlfn.STDEV.P($E$7:$E$374)</f>
        <v>-0.15820505653127495</v>
      </c>
    </row>
    <row r="61" spans="2:8" x14ac:dyDescent="0.25">
      <c r="B61" s="25">
        <v>40940</v>
      </c>
      <c r="C61" s="7">
        <v>11021</v>
      </c>
      <c r="D61" s="7">
        <v>11449.5</v>
      </c>
      <c r="E61" s="29">
        <f t="shared" si="0"/>
        <v>3.8880319390254971E-2</v>
      </c>
      <c r="F61" s="29">
        <f t="shared" si="1"/>
        <v>1.6827585946139311E-3</v>
      </c>
      <c r="G61" s="29">
        <f>F61+'Without VBA'!$F$12*_xlfn.STDEV.P($E$7:$E$374)</f>
        <v>0.16157057372050279</v>
      </c>
      <c r="H61" s="26">
        <f>F61-'Without VBA'!$F$12*_xlfn.STDEV.P($E$7:$E$374)</f>
        <v>-0.15820505653127495</v>
      </c>
    </row>
    <row r="62" spans="2:8" x14ac:dyDescent="0.25">
      <c r="B62" s="25">
        <v>40911</v>
      </c>
      <c r="C62" s="7">
        <v>10362</v>
      </c>
      <c r="D62" s="7">
        <v>10769.3</v>
      </c>
      <c r="E62" s="29">
        <f t="shared" si="0"/>
        <v>3.930708357459943E-2</v>
      </c>
      <c r="F62" s="29">
        <f t="shared" si="1"/>
        <v>1.6827585946139311E-3</v>
      </c>
      <c r="G62" s="29">
        <f>F62+'Without VBA'!$F$12*_xlfn.STDEV.P($E$7:$E$374)</f>
        <v>0.16157057372050279</v>
      </c>
      <c r="H62" s="26">
        <f>F62-'Without VBA'!$F$12*_xlfn.STDEV.P($E$7:$E$374)</f>
        <v>-0.15820505653127495</v>
      </c>
    </row>
    <row r="63" spans="2:8" x14ac:dyDescent="0.25">
      <c r="B63" s="25">
        <v>40878</v>
      </c>
      <c r="C63" s="7">
        <v>10203.799999999999</v>
      </c>
      <c r="D63" s="7">
        <v>10102.9</v>
      </c>
      <c r="E63" s="29">
        <f t="shared" si="0"/>
        <v>-9.8884729218526087E-3</v>
      </c>
      <c r="F63" s="29">
        <f t="shared" si="1"/>
        <v>1.6827585946139311E-3</v>
      </c>
      <c r="G63" s="29">
        <f>F63+'Without VBA'!$F$12*_xlfn.STDEV.P($E$7:$E$374)</f>
        <v>0.16157057372050279</v>
      </c>
      <c r="H63" s="26">
        <f>F63-'Without VBA'!$F$12*_xlfn.STDEV.P($E$7:$E$374)</f>
        <v>-0.15820505653127495</v>
      </c>
    </row>
    <row r="64" spans="2:8" x14ac:dyDescent="0.25">
      <c r="B64" s="25">
        <v>40848</v>
      </c>
      <c r="C64" s="7">
        <v>10167.6</v>
      </c>
      <c r="D64" s="7">
        <v>10315.299999999999</v>
      </c>
      <c r="E64" s="29">
        <f t="shared" si="0"/>
        <v>1.4526535268893239E-2</v>
      </c>
      <c r="F64" s="29">
        <f t="shared" si="1"/>
        <v>1.6827585946139311E-3</v>
      </c>
      <c r="G64" s="29">
        <f>F64+'Without VBA'!$F$12*_xlfn.STDEV.P($E$7:$E$374)</f>
        <v>0.16157057372050279</v>
      </c>
      <c r="H64" s="26">
        <f>F64-'Without VBA'!$F$12*_xlfn.STDEV.P($E$7:$E$374)</f>
        <v>-0.15820505653127495</v>
      </c>
    </row>
    <row r="65" spans="2:8" x14ac:dyDescent="0.25">
      <c r="B65" s="25">
        <v>40819</v>
      </c>
      <c r="C65" s="7">
        <v>9750.56</v>
      </c>
      <c r="D65" s="7">
        <v>10479.700000000001</v>
      </c>
      <c r="E65" s="29">
        <f t="shared" si="0"/>
        <v>7.4779294727687573E-2</v>
      </c>
      <c r="F65" s="29">
        <f t="shared" si="1"/>
        <v>1.6827585946139311E-3</v>
      </c>
      <c r="G65" s="29">
        <f>F65+'Without VBA'!$F$12*_xlfn.STDEV.P($E$7:$E$374)</f>
        <v>0.16157057372050279</v>
      </c>
      <c r="H65" s="26">
        <f>F65-'Without VBA'!$F$12*_xlfn.STDEV.P($E$7:$E$374)</f>
        <v>-0.15820505653127495</v>
      </c>
    </row>
    <row r="66" spans="2:8" x14ac:dyDescent="0.25">
      <c r="B66" s="25">
        <v>40787</v>
      </c>
      <c r="C66" s="7">
        <v>10576.8</v>
      </c>
      <c r="D66" s="7">
        <v>9819.3799999999992</v>
      </c>
      <c r="E66" s="29">
        <f t="shared" si="0"/>
        <v>-7.1611451478708121E-2</v>
      </c>
      <c r="F66" s="29">
        <f t="shared" si="1"/>
        <v>1.6827585946139311E-3</v>
      </c>
      <c r="G66" s="29">
        <f>F66+'Without VBA'!$F$12*_xlfn.STDEV.P($E$7:$E$374)</f>
        <v>0.16157057372050279</v>
      </c>
      <c r="H66" s="26">
        <f>F66-'Without VBA'!$F$12*_xlfn.STDEV.P($E$7:$E$374)</f>
        <v>-0.15820505653127495</v>
      </c>
    </row>
    <row r="67" spans="2:8" x14ac:dyDescent="0.25">
      <c r="B67" s="25">
        <v>40756</v>
      </c>
      <c r="C67" s="7">
        <v>11443</v>
      </c>
      <c r="D67" s="7">
        <v>10525.9</v>
      </c>
      <c r="E67" s="29">
        <f t="shared" si="0"/>
        <v>-8.0145066853097996E-2</v>
      </c>
      <c r="F67" s="29">
        <f t="shared" si="1"/>
        <v>1.6827585946139311E-3</v>
      </c>
      <c r="G67" s="29">
        <f>F67+'Without VBA'!$F$12*_xlfn.STDEV.P($E$7:$E$374)</f>
        <v>0.16157057372050279</v>
      </c>
      <c r="H67" s="26">
        <f>F67-'Without VBA'!$F$12*_xlfn.STDEV.P($E$7:$E$374)</f>
        <v>-0.15820505653127495</v>
      </c>
    </row>
    <row r="68" spans="2:8" x14ac:dyDescent="0.25">
      <c r="B68" s="25">
        <v>40725</v>
      </c>
      <c r="C68" s="7">
        <v>12040.3</v>
      </c>
      <c r="D68" s="7">
        <v>11552.1</v>
      </c>
      <c r="E68" s="29">
        <f t="shared" si="0"/>
        <v>-4.0547162446118362E-2</v>
      </c>
      <c r="F68" s="29">
        <f t="shared" si="1"/>
        <v>1.6827585946139311E-3</v>
      </c>
      <c r="G68" s="29">
        <f>F68+'Without VBA'!$F$12*_xlfn.STDEV.P($E$7:$E$374)</f>
        <v>0.16157057372050279</v>
      </c>
      <c r="H68" s="26">
        <f>F68-'Without VBA'!$F$12*_xlfn.STDEV.P($E$7:$E$374)</f>
        <v>-0.15820505653127495</v>
      </c>
    </row>
    <row r="69" spans="2:8" x14ac:dyDescent="0.25">
      <c r="B69" s="25">
        <v>40695</v>
      </c>
      <c r="C69" s="7">
        <v>12009.8</v>
      </c>
      <c r="D69" s="7">
        <v>11934</v>
      </c>
      <c r="E69" s="29">
        <f t="shared" si="0"/>
        <v>-6.3115122649835369E-3</v>
      </c>
      <c r="F69" s="29">
        <f t="shared" si="1"/>
        <v>1.6827585946139311E-3</v>
      </c>
      <c r="G69" s="29">
        <f>F69+'Without VBA'!$F$12*_xlfn.STDEV.P($E$7:$E$374)</f>
        <v>0.16157057372050279</v>
      </c>
      <c r="H69" s="26">
        <f>F69-'Without VBA'!$F$12*_xlfn.STDEV.P($E$7:$E$374)</f>
        <v>-0.15820505653127495</v>
      </c>
    </row>
    <row r="70" spans="2:8" x14ac:dyDescent="0.25">
      <c r="B70" s="25">
        <v>40666</v>
      </c>
      <c r="C70" s="7">
        <v>12014.8</v>
      </c>
      <c r="D70" s="7">
        <v>12060.8</v>
      </c>
      <c r="E70" s="29">
        <f t="shared" si="0"/>
        <v>3.8286113792988649E-3</v>
      </c>
      <c r="F70" s="29">
        <f t="shared" si="1"/>
        <v>1.6827585946139311E-3</v>
      </c>
      <c r="G70" s="29">
        <f>F70+'Without VBA'!$F$12*_xlfn.STDEV.P($E$7:$E$374)</f>
        <v>0.16157057372050279</v>
      </c>
      <c r="H70" s="26">
        <f>F70-'Without VBA'!$F$12*_xlfn.STDEV.P($E$7:$E$374)</f>
        <v>-0.15820505653127495</v>
      </c>
    </row>
    <row r="71" spans="2:8" x14ac:dyDescent="0.25">
      <c r="B71" s="25">
        <v>40634</v>
      </c>
      <c r="C71" s="7">
        <v>11708.7</v>
      </c>
      <c r="D71" s="7">
        <v>12013.9</v>
      </c>
      <c r="E71" s="29">
        <f t="shared" ref="E71:E134" si="2">(D71-C71)/C71</f>
        <v>2.6066087610067634E-2</v>
      </c>
      <c r="F71" s="29">
        <f t="shared" ref="F71:F134" si="3">AVERAGE($E$7:$E$374)</f>
        <v>1.6827585946139311E-3</v>
      </c>
      <c r="G71" s="29">
        <f>F71+'Without VBA'!$F$12*_xlfn.STDEV.P($E$7:$E$374)</f>
        <v>0.16157057372050279</v>
      </c>
      <c r="H71" s="26">
        <f>F71-'Without VBA'!$F$12*_xlfn.STDEV.P($E$7:$E$374)</f>
        <v>-0.15820505653127495</v>
      </c>
    </row>
    <row r="72" spans="2:8" x14ac:dyDescent="0.25">
      <c r="B72" s="25">
        <v>40603</v>
      </c>
      <c r="C72" s="7">
        <v>11574.1</v>
      </c>
      <c r="D72" s="7">
        <v>11592</v>
      </c>
      <c r="E72" s="29">
        <f t="shared" si="2"/>
        <v>1.5465565357133284E-3</v>
      </c>
      <c r="F72" s="29">
        <f t="shared" si="3"/>
        <v>1.6827585946139311E-3</v>
      </c>
      <c r="G72" s="29">
        <f>F72+'Without VBA'!$F$12*_xlfn.STDEV.P($E$7:$E$374)</f>
        <v>0.16157057372050279</v>
      </c>
      <c r="H72" s="26">
        <f>F72-'Without VBA'!$F$12*_xlfn.STDEV.P($E$7:$E$374)</f>
        <v>-0.15820505653127495</v>
      </c>
    </row>
    <row r="73" spans="2:8" x14ac:dyDescent="0.25">
      <c r="B73" s="25">
        <v>40575</v>
      </c>
      <c r="C73" s="7">
        <v>11608.5</v>
      </c>
      <c r="D73" s="7">
        <v>11621.3</v>
      </c>
      <c r="E73" s="29">
        <f t="shared" si="2"/>
        <v>1.1026403066717726E-3</v>
      </c>
      <c r="F73" s="29">
        <f t="shared" si="3"/>
        <v>1.6827585946139311E-3</v>
      </c>
      <c r="G73" s="29">
        <f>F73+'Without VBA'!$F$12*_xlfn.STDEV.P($E$7:$E$374)</f>
        <v>0.16157057372050279</v>
      </c>
      <c r="H73" s="26">
        <f>F73-'Without VBA'!$F$12*_xlfn.STDEV.P($E$7:$E$374)</f>
        <v>-0.15820505653127495</v>
      </c>
    </row>
    <row r="74" spans="2:8" x14ac:dyDescent="0.25">
      <c r="B74" s="25">
        <v>40547</v>
      </c>
      <c r="C74" s="7">
        <v>11722.6</v>
      </c>
      <c r="D74" s="7">
        <v>11471.5</v>
      </c>
      <c r="E74" s="29">
        <f t="shared" si="2"/>
        <v>-2.1420162762527114E-2</v>
      </c>
      <c r="F74" s="29">
        <f t="shared" si="3"/>
        <v>1.6827585946139311E-3</v>
      </c>
      <c r="G74" s="29">
        <f>F74+'Without VBA'!$F$12*_xlfn.STDEV.P($E$7:$E$374)</f>
        <v>0.16157057372050279</v>
      </c>
      <c r="H74" s="26">
        <f>F74-'Without VBA'!$F$12*_xlfn.STDEV.P($E$7:$E$374)</f>
        <v>-0.15820505653127495</v>
      </c>
    </row>
    <row r="75" spans="2:8" x14ac:dyDescent="0.25">
      <c r="B75" s="25">
        <v>40513</v>
      </c>
      <c r="C75" s="7">
        <v>10809.3</v>
      </c>
      <c r="D75" s="7">
        <v>11558.8</v>
      </c>
      <c r="E75" s="29">
        <f t="shared" si="2"/>
        <v>6.9338440046996574E-2</v>
      </c>
      <c r="F75" s="29">
        <f t="shared" si="3"/>
        <v>1.6827585946139311E-3</v>
      </c>
      <c r="G75" s="29">
        <f>F75+'Without VBA'!$F$12*_xlfn.STDEV.P($E$7:$E$374)</f>
        <v>0.16157057372050279</v>
      </c>
      <c r="H75" s="26">
        <f>F75-'Without VBA'!$F$12*_xlfn.STDEV.P($E$7:$E$374)</f>
        <v>-0.15820505653127495</v>
      </c>
    </row>
    <row r="76" spans="2:8" x14ac:dyDescent="0.25">
      <c r="B76" s="25">
        <v>40483</v>
      </c>
      <c r="C76" s="7">
        <v>10875.3</v>
      </c>
      <c r="D76" s="7">
        <v>10607.8</v>
      </c>
      <c r="E76" s="29">
        <f t="shared" si="2"/>
        <v>-2.4597022610870507E-2</v>
      </c>
      <c r="F76" s="29">
        <f t="shared" si="3"/>
        <v>1.6827585946139311E-3</v>
      </c>
      <c r="G76" s="29">
        <f>F76+'Without VBA'!$F$12*_xlfn.STDEV.P($E$7:$E$374)</f>
        <v>0.16157057372050279</v>
      </c>
      <c r="H76" s="26">
        <f>F76-'Without VBA'!$F$12*_xlfn.STDEV.P($E$7:$E$374)</f>
        <v>-0.15820505653127495</v>
      </c>
    </row>
    <row r="77" spans="2:8" x14ac:dyDescent="0.25">
      <c r="B77" s="25">
        <v>40452</v>
      </c>
      <c r="C77" s="7">
        <v>10592.5</v>
      </c>
      <c r="D77" s="7">
        <v>10843.5</v>
      </c>
      <c r="E77" s="29">
        <f t="shared" si="2"/>
        <v>2.3696011328770358E-2</v>
      </c>
      <c r="F77" s="29">
        <f t="shared" si="3"/>
        <v>1.6827585946139311E-3</v>
      </c>
      <c r="G77" s="29">
        <f>F77+'Without VBA'!$F$12*_xlfn.STDEV.P($E$7:$E$374)</f>
        <v>0.16157057372050279</v>
      </c>
      <c r="H77" s="26">
        <f>F77-'Without VBA'!$F$12*_xlfn.STDEV.P($E$7:$E$374)</f>
        <v>-0.15820505653127495</v>
      </c>
    </row>
    <row r="78" spans="2:8" x14ac:dyDescent="0.25">
      <c r="B78" s="25">
        <v>40422</v>
      </c>
      <c r="C78" s="7">
        <v>10060.9</v>
      </c>
      <c r="D78" s="7">
        <v>10531.8</v>
      </c>
      <c r="E78" s="29">
        <f t="shared" si="2"/>
        <v>4.6804957806955608E-2</v>
      </c>
      <c r="F78" s="29">
        <f t="shared" si="3"/>
        <v>1.6827585946139311E-3</v>
      </c>
      <c r="G78" s="29">
        <f>F78+'Without VBA'!$F$12*_xlfn.STDEV.P($E$7:$E$374)</f>
        <v>0.16157057372050279</v>
      </c>
      <c r="H78" s="26">
        <f>F78-'Without VBA'!$F$12*_xlfn.STDEV.P($E$7:$E$374)</f>
        <v>-0.15820505653127495</v>
      </c>
    </row>
    <row r="79" spans="2:8" x14ac:dyDescent="0.25">
      <c r="B79" s="25">
        <v>40392</v>
      </c>
      <c r="C79" s="7">
        <v>10161.200000000001</v>
      </c>
      <c r="D79" s="7">
        <v>9825.14</v>
      </c>
      <c r="E79" s="29">
        <f t="shared" si="2"/>
        <v>-3.3072865409597418E-2</v>
      </c>
      <c r="F79" s="29">
        <f t="shared" si="3"/>
        <v>1.6827585946139311E-3</v>
      </c>
      <c r="G79" s="29">
        <f>F79+'Without VBA'!$F$12*_xlfn.STDEV.P($E$7:$E$374)</f>
        <v>0.16157057372050279</v>
      </c>
      <c r="H79" s="26">
        <f>F79-'Without VBA'!$F$12*_xlfn.STDEV.P($E$7:$E$374)</f>
        <v>-0.15820505653127495</v>
      </c>
    </row>
    <row r="80" spans="2:8" x14ac:dyDescent="0.25">
      <c r="B80" s="25">
        <v>40360</v>
      </c>
      <c r="C80" s="7">
        <v>9139.65</v>
      </c>
      <c r="D80" s="7">
        <v>9948.7199999999993</v>
      </c>
      <c r="E80" s="29">
        <f t="shared" si="2"/>
        <v>8.8523083487879711E-2</v>
      </c>
      <c r="F80" s="29">
        <f t="shared" si="3"/>
        <v>1.6827585946139311E-3</v>
      </c>
      <c r="G80" s="29">
        <f>F80+'Without VBA'!$F$12*_xlfn.STDEV.P($E$7:$E$374)</f>
        <v>0.16157057372050279</v>
      </c>
      <c r="H80" s="26">
        <f>F80-'Without VBA'!$F$12*_xlfn.STDEV.P($E$7:$E$374)</f>
        <v>-0.15820505653127495</v>
      </c>
    </row>
    <row r="81" spans="2:8" x14ac:dyDescent="0.25">
      <c r="B81" s="25">
        <v>40330</v>
      </c>
      <c r="C81" s="7">
        <v>9621.5300000000007</v>
      </c>
      <c r="D81" s="7">
        <v>9366.1200000000008</v>
      </c>
      <c r="E81" s="29">
        <f t="shared" si="2"/>
        <v>-2.6545674128750817E-2</v>
      </c>
      <c r="F81" s="29">
        <f t="shared" si="3"/>
        <v>1.6827585946139311E-3</v>
      </c>
      <c r="G81" s="29">
        <f>F81+'Without VBA'!$F$12*_xlfn.STDEV.P($E$7:$E$374)</f>
        <v>0.16157057372050279</v>
      </c>
      <c r="H81" s="26">
        <f>F81-'Without VBA'!$F$12*_xlfn.STDEV.P($E$7:$E$374)</f>
        <v>-0.15820505653127495</v>
      </c>
    </row>
    <row r="82" spans="2:8" x14ac:dyDescent="0.25">
      <c r="B82" s="25">
        <v>40302</v>
      </c>
      <c r="C82" s="7">
        <v>10151.4</v>
      </c>
      <c r="D82" s="7">
        <v>9637.14</v>
      </c>
      <c r="E82" s="29">
        <f t="shared" si="2"/>
        <v>-5.0659022400851135E-2</v>
      </c>
      <c r="F82" s="29">
        <f t="shared" si="3"/>
        <v>1.6827585946139311E-3</v>
      </c>
      <c r="G82" s="29">
        <f>F82+'Without VBA'!$F$12*_xlfn.STDEV.P($E$7:$E$374)</f>
        <v>0.16157057372050279</v>
      </c>
      <c r="H82" s="26">
        <f>F82-'Without VBA'!$F$12*_xlfn.STDEV.P($E$7:$E$374)</f>
        <v>-0.15820505653127495</v>
      </c>
    </row>
    <row r="83" spans="2:8" x14ac:dyDescent="0.25">
      <c r="B83" s="25">
        <v>40269</v>
      </c>
      <c r="C83" s="7">
        <v>10309.5</v>
      </c>
      <c r="D83" s="7">
        <v>10366</v>
      </c>
      <c r="E83" s="29">
        <f t="shared" si="2"/>
        <v>5.480382171783307E-3</v>
      </c>
      <c r="F83" s="29">
        <f t="shared" si="3"/>
        <v>1.6827585946139311E-3</v>
      </c>
      <c r="G83" s="29">
        <f>F83+'Without VBA'!$F$12*_xlfn.STDEV.P($E$7:$E$374)</f>
        <v>0.16157057372050279</v>
      </c>
      <c r="H83" s="26">
        <f>F83-'Without VBA'!$F$12*_xlfn.STDEV.P($E$7:$E$374)</f>
        <v>-0.15820505653127495</v>
      </c>
    </row>
    <row r="84" spans="2:8" x14ac:dyDescent="0.25">
      <c r="B84" s="25">
        <v>40238</v>
      </c>
      <c r="C84" s="7">
        <v>9479.83</v>
      </c>
      <c r="D84" s="7">
        <v>10165.299999999999</v>
      </c>
      <c r="E84" s="29">
        <f t="shared" si="2"/>
        <v>7.2308258692402649E-2</v>
      </c>
      <c r="F84" s="29">
        <f t="shared" si="3"/>
        <v>1.6827585946139311E-3</v>
      </c>
      <c r="G84" s="29">
        <f>F84+'Without VBA'!$F$12*_xlfn.STDEV.P($E$7:$E$374)</f>
        <v>0.16157057372050279</v>
      </c>
      <c r="H84" s="26">
        <f>F84-'Without VBA'!$F$12*_xlfn.STDEV.P($E$7:$E$374)</f>
        <v>-0.15820505653127495</v>
      </c>
    </row>
    <row r="85" spans="2:8" x14ac:dyDescent="0.25">
      <c r="B85" s="25">
        <v>40210</v>
      </c>
      <c r="C85" s="7">
        <v>9312.11</v>
      </c>
      <c r="D85" s="7">
        <v>9344.39</v>
      </c>
      <c r="E85" s="29">
        <f t="shared" si="2"/>
        <v>3.4664538971295265E-3</v>
      </c>
      <c r="F85" s="29">
        <f t="shared" si="3"/>
        <v>1.6827585946139311E-3</v>
      </c>
      <c r="G85" s="29">
        <f>F85+'Without VBA'!$F$12*_xlfn.STDEV.P($E$7:$E$374)</f>
        <v>0.16157057372050279</v>
      </c>
      <c r="H85" s="26">
        <f>F85-'Without VBA'!$F$12*_xlfn.STDEV.P($E$7:$E$374)</f>
        <v>-0.15820505653127495</v>
      </c>
    </row>
    <row r="86" spans="2:8" x14ac:dyDescent="0.25">
      <c r="B86" s="25">
        <v>40182</v>
      </c>
      <c r="C86" s="7">
        <v>9510.11</v>
      </c>
      <c r="D86" s="7">
        <v>9237.2999999999993</v>
      </c>
      <c r="E86" s="29">
        <f t="shared" si="2"/>
        <v>-2.8686313828126205E-2</v>
      </c>
      <c r="F86" s="29">
        <f t="shared" si="3"/>
        <v>1.6827585946139311E-3</v>
      </c>
      <c r="G86" s="29">
        <f>F86+'Without VBA'!$F$12*_xlfn.STDEV.P($E$7:$E$374)</f>
        <v>0.16157057372050279</v>
      </c>
      <c r="H86" s="26">
        <f>F86-'Without VBA'!$F$12*_xlfn.STDEV.P($E$7:$E$374)</f>
        <v>-0.15820505653127495</v>
      </c>
    </row>
    <row r="87" spans="2:8" x14ac:dyDescent="0.25">
      <c r="B87" s="25">
        <v>40148</v>
      </c>
      <c r="C87" s="7">
        <v>9135.11</v>
      </c>
      <c r="D87" s="7">
        <v>9306.89</v>
      </c>
      <c r="E87" s="29">
        <f t="shared" si="2"/>
        <v>1.880437126646519E-2</v>
      </c>
      <c r="F87" s="29">
        <f t="shared" si="3"/>
        <v>1.6827585946139311E-3</v>
      </c>
      <c r="G87" s="29">
        <f>F87+'Without VBA'!$F$12*_xlfn.STDEV.P($E$7:$E$374)</f>
        <v>0.16157057372050279</v>
      </c>
      <c r="H87" s="26">
        <f>F87-'Without VBA'!$F$12*_xlfn.STDEV.P($E$7:$E$374)</f>
        <v>-0.15820505653127495</v>
      </c>
    </row>
    <row r="88" spans="2:8" x14ac:dyDescent="0.25">
      <c r="B88" s="25">
        <v>40119</v>
      </c>
      <c r="C88" s="7">
        <v>8917.89</v>
      </c>
      <c r="D88" s="7">
        <v>8918.44</v>
      </c>
      <c r="E88" s="29">
        <f t="shared" si="2"/>
        <v>6.1673781578500234E-5</v>
      </c>
      <c r="F88" s="29">
        <f t="shared" si="3"/>
        <v>1.6827585946139311E-3</v>
      </c>
      <c r="G88" s="29">
        <f>F88+'Without VBA'!$F$12*_xlfn.STDEV.P($E$7:$E$374)</f>
        <v>0.16157057372050279</v>
      </c>
      <c r="H88" s="26">
        <f>F88-'Without VBA'!$F$12*_xlfn.STDEV.P($E$7:$E$374)</f>
        <v>-0.15820505653127495</v>
      </c>
    </row>
    <row r="89" spans="2:8" x14ac:dyDescent="0.25">
      <c r="B89" s="25">
        <v>40087</v>
      </c>
      <c r="C89" s="7">
        <v>9064.2800000000007</v>
      </c>
      <c r="D89" s="7">
        <v>8885.77</v>
      </c>
      <c r="E89" s="29">
        <f t="shared" si="2"/>
        <v>-1.969378704100052E-2</v>
      </c>
      <c r="F89" s="29">
        <f t="shared" si="3"/>
        <v>1.6827585946139311E-3</v>
      </c>
      <c r="G89" s="29">
        <f>F89+'Without VBA'!$F$12*_xlfn.STDEV.P($E$7:$E$374)</f>
        <v>0.16157057372050279</v>
      </c>
      <c r="H89" s="26">
        <f>F89-'Without VBA'!$F$12*_xlfn.STDEV.P($E$7:$E$374)</f>
        <v>-0.15820505653127495</v>
      </c>
    </row>
    <row r="90" spans="2:8" x14ac:dyDescent="0.25">
      <c r="B90" s="25">
        <v>40057</v>
      </c>
      <c r="C90" s="7">
        <v>8619.68</v>
      </c>
      <c r="D90" s="7">
        <v>9142.31</v>
      </c>
      <c r="E90" s="29">
        <f t="shared" si="2"/>
        <v>6.0632181241066861E-2</v>
      </c>
      <c r="F90" s="29">
        <f t="shared" si="3"/>
        <v>1.6827585946139311E-3</v>
      </c>
      <c r="G90" s="29">
        <f>F90+'Without VBA'!$F$12*_xlfn.STDEV.P($E$7:$E$374)</f>
        <v>0.16157057372050279</v>
      </c>
      <c r="H90" s="26">
        <f>F90-'Without VBA'!$F$12*_xlfn.STDEV.P($E$7:$E$374)</f>
        <v>-0.15820505653127495</v>
      </c>
    </row>
    <row r="91" spans="2:8" x14ac:dyDescent="0.25">
      <c r="B91" s="25">
        <v>40028</v>
      </c>
      <c r="C91" s="7">
        <v>8158.16</v>
      </c>
      <c r="D91" s="7">
        <v>8817.51</v>
      </c>
      <c r="E91" s="29">
        <f t="shared" si="2"/>
        <v>8.0820920403620475E-2</v>
      </c>
      <c r="F91" s="29">
        <f t="shared" si="3"/>
        <v>1.6827585946139311E-3</v>
      </c>
      <c r="G91" s="29">
        <f>F91+'Without VBA'!$F$12*_xlfn.STDEV.P($E$7:$E$374)</f>
        <v>0.16157057372050279</v>
      </c>
      <c r="H91" s="26">
        <f>F91-'Without VBA'!$F$12*_xlfn.STDEV.P($E$7:$E$374)</f>
        <v>-0.15820505653127495</v>
      </c>
    </row>
    <row r="92" spans="2:8" x14ac:dyDescent="0.25">
      <c r="B92" s="25">
        <v>39995</v>
      </c>
      <c r="C92" s="7">
        <v>7506.71</v>
      </c>
      <c r="D92" s="7">
        <v>7999.96</v>
      </c>
      <c r="E92" s="29">
        <f t="shared" si="2"/>
        <v>6.5707880016678405E-2</v>
      </c>
      <c r="F92" s="29">
        <f t="shared" si="3"/>
        <v>1.6827585946139311E-3</v>
      </c>
      <c r="G92" s="29">
        <f>F92+'Without VBA'!$F$12*_xlfn.STDEV.P($E$7:$E$374)</f>
        <v>0.16157057372050279</v>
      </c>
      <c r="H92" s="26">
        <f>F92-'Without VBA'!$F$12*_xlfn.STDEV.P($E$7:$E$374)</f>
        <v>-0.15820505653127495</v>
      </c>
    </row>
    <row r="93" spans="2:8" x14ac:dyDescent="0.25">
      <c r="B93" s="25">
        <v>39965</v>
      </c>
      <c r="C93" s="7">
        <v>7758.58</v>
      </c>
      <c r="D93" s="7">
        <v>7414.56</v>
      </c>
      <c r="E93" s="29">
        <f t="shared" si="2"/>
        <v>-4.4340588097306406E-2</v>
      </c>
      <c r="F93" s="29">
        <f t="shared" si="3"/>
        <v>1.6827585946139311E-3</v>
      </c>
      <c r="G93" s="29">
        <f>F93+'Without VBA'!$F$12*_xlfn.STDEV.P($E$7:$E$374)</f>
        <v>0.16157057372050279</v>
      </c>
      <c r="H93" s="26">
        <f>F93-'Without VBA'!$F$12*_xlfn.STDEV.P($E$7:$E$374)</f>
        <v>-0.15820505653127495</v>
      </c>
    </row>
    <row r="94" spans="2:8" x14ac:dyDescent="0.25">
      <c r="B94" s="25">
        <v>39934</v>
      </c>
      <c r="C94" s="7">
        <v>7571.33</v>
      </c>
      <c r="D94" s="7">
        <v>7572</v>
      </c>
      <c r="E94" s="29">
        <f t="shared" si="2"/>
        <v>8.849171809973582E-5</v>
      </c>
      <c r="F94" s="29">
        <f t="shared" si="3"/>
        <v>1.6827585946139311E-3</v>
      </c>
      <c r="G94" s="29">
        <f>F94+'Without VBA'!$F$12*_xlfn.STDEV.P($E$7:$E$374)</f>
        <v>0.16157057372050279</v>
      </c>
      <c r="H94" s="26">
        <f>F94-'Without VBA'!$F$12*_xlfn.STDEV.P($E$7:$E$374)</f>
        <v>-0.15820505653127495</v>
      </c>
    </row>
    <row r="95" spans="2:8" x14ac:dyDescent="0.25">
      <c r="B95" s="25">
        <v>39904</v>
      </c>
      <c r="C95" s="7">
        <v>6541.02</v>
      </c>
      <c r="D95" s="7">
        <v>7528.95</v>
      </c>
      <c r="E95" s="29">
        <f t="shared" si="2"/>
        <v>0.1510360769421282</v>
      </c>
      <c r="F95" s="29">
        <f t="shared" si="3"/>
        <v>1.6827585946139311E-3</v>
      </c>
      <c r="G95" s="29">
        <f>F95+'Without VBA'!$F$12*_xlfn.STDEV.P($E$7:$E$374)</f>
        <v>0.16157057372050279</v>
      </c>
      <c r="H95" s="26">
        <f>F95-'Without VBA'!$F$12*_xlfn.STDEV.P($E$7:$E$374)</f>
        <v>-0.15820505653127495</v>
      </c>
    </row>
    <row r="96" spans="2:8" x14ac:dyDescent="0.25">
      <c r="B96" s="25">
        <v>39874</v>
      </c>
      <c r="C96" s="7">
        <v>5860.46</v>
      </c>
      <c r="D96" s="7">
        <v>6373.89</v>
      </c>
      <c r="E96" s="29">
        <f t="shared" si="2"/>
        <v>8.760916378577796E-2</v>
      </c>
      <c r="F96" s="29">
        <f t="shared" si="3"/>
        <v>1.6827585946139311E-3</v>
      </c>
      <c r="G96" s="29">
        <f>F96+'Without VBA'!$F$12*_xlfn.STDEV.P($E$7:$E$374)</f>
        <v>0.16157057372050279</v>
      </c>
      <c r="H96" s="26">
        <f>F96-'Without VBA'!$F$12*_xlfn.STDEV.P($E$7:$E$374)</f>
        <v>-0.15820505653127495</v>
      </c>
    </row>
    <row r="97" spans="2:8" x14ac:dyDescent="0.25">
      <c r="B97" s="25">
        <v>39846</v>
      </c>
      <c r="C97" s="7">
        <v>6052.38</v>
      </c>
      <c r="D97" s="7">
        <v>6049.14</v>
      </c>
      <c r="E97" s="29">
        <f t="shared" si="2"/>
        <v>-5.3532659879250509E-4</v>
      </c>
      <c r="F97" s="29">
        <f t="shared" si="3"/>
        <v>1.6827585946139311E-3</v>
      </c>
      <c r="G97" s="29">
        <f>F97+'Without VBA'!$F$12*_xlfn.STDEV.P($E$7:$E$374)</f>
        <v>0.16157057372050279</v>
      </c>
      <c r="H97" s="26">
        <f>F97-'Without VBA'!$F$12*_xlfn.STDEV.P($E$7:$E$374)</f>
        <v>-0.15820505653127495</v>
      </c>
    </row>
    <row r="98" spans="2:8" x14ac:dyDescent="0.25">
      <c r="B98" s="25">
        <v>39815</v>
      </c>
      <c r="C98" s="7">
        <v>6627.17</v>
      </c>
      <c r="D98" s="7">
        <v>6250.76</v>
      </c>
      <c r="E98" s="29">
        <f t="shared" si="2"/>
        <v>-5.6797999749515986E-2</v>
      </c>
      <c r="F98" s="29">
        <f t="shared" si="3"/>
        <v>1.6827585946139311E-3</v>
      </c>
      <c r="G98" s="29">
        <f>F98+'Without VBA'!$F$12*_xlfn.STDEV.P($E$7:$E$374)</f>
        <v>0.16157057372050279</v>
      </c>
      <c r="H98" s="26">
        <f>F98-'Without VBA'!$F$12*_xlfn.STDEV.P($E$7:$E$374)</f>
        <v>-0.15820505653127495</v>
      </c>
    </row>
    <row r="99" spans="2:8" x14ac:dyDescent="0.25">
      <c r="B99" s="25">
        <v>39783</v>
      </c>
      <c r="C99" s="7">
        <v>5830.39</v>
      </c>
      <c r="D99" s="7">
        <v>6360.85</v>
      </c>
      <c r="E99" s="29">
        <f t="shared" si="2"/>
        <v>9.0981906870723911E-2</v>
      </c>
      <c r="F99" s="29">
        <f t="shared" si="3"/>
        <v>1.6827585946139311E-3</v>
      </c>
      <c r="G99" s="29">
        <f>F99+'Without VBA'!$F$12*_xlfn.STDEV.P($E$7:$E$374)</f>
        <v>0.16157057372050279</v>
      </c>
      <c r="H99" s="26">
        <f>F99-'Without VBA'!$F$12*_xlfn.STDEV.P($E$7:$E$374)</f>
        <v>-0.15820505653127495</v>
      </c>
    </row>
    <row r="100" spans="2:8" x14ac:dyDescent="0.25">
      <c r="B100" s="25">
        <v>39755</v>
      </c>
      <c r="C100" s="7">
        <v>6443.71</v>
      </c>
      <c r="D100" s="7">
        <v>6093.32</v>
      </c>
      <c r="E100" s="29">
        <f t="shared" si="2"/>
        <v>-5.4377059178640927E-2</v>
      </c>
      <c r="F100" s="29">
        <f t="shared" si="3"/>
        <v>1.6827585946139311E-3</v>
      </c>
      <c r="G100" s="29">
        <f>F100+'Without VBA'!$F$12*_xlfn.STDEV.P($E$7:$E$374)</f>
        <v>0.16157057372050279</v>
      </c>
      <c r="H100" s="26">
        <f>F100-'Without VBA'!$F$12*_xlfn.STDEV.P($E$7:$E$374)</f>
        <v>-0.15820505653127495</v>
      </c>
    </row>
    <row r="101" spans="2:8" x14ac:dyDescent="0.25">
      <c r="B101" s="25">
        <v>39722</v>
      </c>
      <c r="C101" s="7">
        <v>7914.39</v>
      </c>
      <c r="D101" s="7">
        <v>6282.55</v>
      </c>
      <c r="E101" s="29">
        <f t="shared" si="2"/>
        <v>-0.20618645277778833</v>
      </c>
      <c r="F101" s="29">
        <f t="shared" si="3"/>
        <v>1.6827585946139311E-3</v>
      </c>
      <c r="G101" s="29">
        <f>F101+'Without VBA'!$F$12*_xlfn.STDEV.P($E$7:$E$374)</f>
        <v>0.16157057372050279</v>
      </c>
      <c r="H101" s="26">
        <f>F101-'Without VBA'!$F$12*_xlfn.STDEV.P($E$7:$E$374)</f>
        <v>-0.15820505653127495</v>
      </c>
    </row>
    <row r="102" spans="2:8" x14ac:dyDescent="0.25">
      <c r="B102" s="25">
        <v>39692</v>
      </c>
      <c r="C102" s="7">
        <v>9409.4699999999993</v>
      </c>
      <c r="D102" s="7">
        <v>7888.21</v>
      </c>
      <c r="E102" s="29">
        <f t="shared" si="2"/>
        <v>-0.16167329296974212</v>
      </c>
      <c r="F102" s="29">
        <f t="shared" si="3"/>
        <v>1.6827585946139311E-3</v>
      </c>
      <c r="G102" s="29">
        <f>F102+'Without VBA'!$F$12*_xlfn.STDEV.P($E$7:$E$374)</f>
        <v>0.16157057372050279</v>
      </c>
      <c r="H102" s="26">
        <f>F102-'Without VBA'!$F$12*_xlfn.STDEV.P($E$7:$E$374)</f>
        <v>-0.15820505653127495</v>
      </c>
    </row>
    <row r="103" spans="2:8" x14ac:dyDescent="0.25">
      <c r="B103" s="25">
        <v>39661</v>
      </c>
      <c r="C103" s="7">
        <v>8839.9</v>
      </c>
      <c r="D103" s="7">
        <v>9381.84</v>
      </c>
      <c r="E103" s="29">
        <f t="shared" si="2"/>
        <v>6.1306123372436398E-2</v>
      </c>
      <c r="F103" s="29">
        <f t="shared" si="3"/>
        <v>1.6827585946139311E-3</v>
      </c>
      <c r="G103" s="29">
        <f>F103+'Without VBA'!$F$12*_xlfn.STDEV.P($E$7:$E$374)</f>
        <v>0.16157057372050279</v>
      </c>
      <c r="H103" s="26">
        <f>F103-'Without VBA'!$F$12*_xlfn.STDEV.P($E$7:$E$374)</f>
        <v>-0.15820505653127495</v>
      </c>
    </row>
    <row r="104" spans="2:8" x14ac:dyDescent="0.25">
      <c r="B104" s="25">
        <v>39630</v>
      </c>
      <c r="C104" s="7">
        <v>8920.85</v>
      </c>
      <c r="D104" s="7">
        <v>8856.73</v>
      </c>
      <c r="E104" s="29">
        <f t="shared" si="2"/>
        <v>-7.1876558848092721E-3</v>
      </c>
      <c r="F104" s="29">
        <f t="shared" si="3"/>
        <v>1.6827585946139311E-3</v>
      </c>
      <c r="G104" s="29">
        <f>F104+'Without VBA'!$F$12*_xlfn.STDEV.P($E$7:$E$374)</f>
        <v>0.16157057372050279</v>
      </c>
      <c r="H104" s="26">
        <f>F104-'Without VBA'!$F$12*_xlfn.STDEV.P($E$7:$E$374)</f>
        <v>-0.15820505653127495</v>
      </c>
    </row>
    <row r="105" spans="2:8" x14ac:dyDescent="0.25">
      <c r="B105" s="25">
        <v>39601</v>
      </c>
      <c r="C105" s="7">
        <v>9928.25</v>
      </c>
      <c r="D105" s="7">
        <v>9145.77</v>
      </c>
      <c r="E105" s="29">
        <f t="shared" si="2"/>
        <v>-7.8813486767557173E-2</v>
      </c>
      <c r="F105" s="29">
        <f t="shared" si="3"/>
        <v>1.6827585946139311E-3</v>
      </c>
      <c r="G105" s="29">
        <f>F105+'Without VBA'!$F$12*_xlfn.STDEV.P($E$7:$E$374)</f>
        <v>0.16157057372050279</v>
      </c>
      <c r="H105" s="26">
        <f>F105-'Without VBA'!$F$12*_xlfn.STDEV.P($E$7:$E$374)</f>
        <v>-0.15820505653127495</v>
      </c>
    </row>
    <row r="106" spans="2:8" x14ac:dyDescent="0.25">
      <c r="B106" s="25">
        <v>39569</v>
      </c>
      <c r="C106" s="7">
        <v>10073</v>
      </c>
      <c r="D106" s="7">
        <v>10049.299999999999</v>
      </c>
      <c r="E106" s="29">
        <f t="shared" si="2"/>
        <v>-2.3528243820113894E-3</v>
      </c>
      <c r="F106" s="29">
        <f t="shared" si="3"/>
        <v>1.6827585946139311E-3</v>
      </c>
      <c r="G106" s="29">
        <f>F106+'Without VBA'!$F$12*_xlfn.STDEV.P($E$7:$E$374)</f>
        <v>0.16157057372050279</v>
      </c>
      <c r="H106" s="26">
        <f>F106-'Without VBA'!$F$12*_xlfn.STDEV.P($E$7:$E$374)</f>
        <v>-0.15820505653127495</v>
      </c>
    </row>
    <row r="107" spans="2:8" x14ac:dyDescent="0.25">
      <c r="B107" s="25">
        <v>39539</v>
      </c>
      <c r="C107" s="7">
        <v>10336.200000000001</v>
      </c>
      <c r="D107" s="7">
        <v>10122.299999999999</v>
      </c>
      <c r="E107" s="29">
        <f t="shared" si="2"/>
        <v>-2.0694259012016162E-2</v>
      </c>
      <c r="F107" s="29">
        <f t="shared" si="3"/>
        <v>1.6827585946139311E-3</v>
      </c>
      <c r="G107" s="29">
        <f>F107+'Without VBA'!$F$12*_xlfn.STDEV.P($E$7:$E$374)</f>
        <v>0.16157057372050279</v>
      </c>
      <c r="H107" s="26">
        <f>F107-'Without VBA'!$F$12*_xlfn.STDEV.P($E$7:$E$374)</f>
        <v>-0.15820505653127495</v>
      </c>
    </row>
    <row r="108" spans="2:8" x14ac:dyDescent="0.25">
      <c r="B108" s="25">
        <v>39510</v>
      </c>
      <c r="C108" s="7">
        <v>10013.9</v>
      </c>
      <c r="D108" s="7">
        <v>10013.200000000001</v>
      </c>
      <c r="E108" s="29">
        <f t="shared" si="2"/>
        <v>-6.9902835059158631E-5</v>
      </c>
      <c r="F108" s="29">
        <f t="shared" si="3"/>
        <v>1.6827585946139311E-3</v>
      </c>
      <c r="G108" s="29">
        <f>F108+'Without VBA'!$F$12*_xlfn.STDEV.P($E$7:$E$374)</f>
        <v>0.16157057372050279</v>
      </c>
      <c r="H108" s="26">
        <f>F108-'Without VBA'!$F$12*_xlfn.STDEV.P($E$7:$E$374)</f>
        <v>-0.15820505653127495</v>
      </c>
    </row>
    <row r="109" spans="2:8" x14ac:dyDescent="0.25">
      <c r="B109" s="25">
        <v>39479</v>
      </c>
      <c r="C109" s="7">
        <v>10186.6</v>
      </c>
      <c r="D109" s="7">
        <v>10067.9</v>
      </c>
      <c r="E109" s="29">
        <f t="shared" si="2"/>
        <v>-1.1652563171225013E-2</v>
      </c>
      <c r="F109" s="29">
        <f t="shared" si="3"/>
        <v>1.6827585946139311E-3</v>
      </c>
      <c r="G109" s="29">
        <f>F109+'Without VBA'!$F$12*_xlfn.STDEV.P($E$7:$E$374)</f>
        <v>0.16157057372050279</v>
      </c>
      <c r="H109" s="26">
        <f>F109-'Without VBA'!$F$12*_xlfn.STDEV.P($E$7:$E$374)</f>
        <v>-0.15820505653127495</v>
      </c>
    </row>
    <row r="110" spans="2:8" x14ac:dyDescent="0.25">
      <c r="B110" s="25">
        <v>39449</v>
      </c>
      <c r="C110" s="7">
        <v>10650.7</v>
      </c>
      <c r="D110" s="7">
        <v>9881.75</v>
      </c>
      <c r="E110" s="29">
        <f t="shared" si="2"/>
        <v>-7.2197132582835E-2</v>
      </c>
      <c r="F110" s="29">
        <f t="shared" si="3"/>
        <v>1.6827585946139311E-3</v>
      </c>
      <c r="G110" s="29">
        <f>F110+'Without VBA'!$F$12*_xlfn.STDEV.P($E$7:$E$374)</f>
        <v>0.16157057372050279</v>
      </c>
      <c r="H110" s="26">
        <f>F110-'Without VBA'!$F$12*_xlfn.STDEV.P($E$7:$E$374)</f>
        <v>-0.15820505653127495</v>
      </c>
    </row>
    <row r="111" spans="2:8" x14ac:dyDescent="0.25">
      <c r="B111" s="25">
        <v>39419</v>
      </c>
      <c r="C111" s="7">
        <v>10560</v>
      </c>
      <c r="D111" s="7">
        <v>10657.8</v>
      </c>
      <c r="E111" s="29">
        <f t="shared" si="2"/>
        <v>9.2613636363635676E-3</v>
      </c>
      <c r="F111" s="29">
        <f t="shared" si="3"/>
        <v>1.6827585946139311E-3</v>
      </c>
      <c r="G111" s="29">
        <f>F111+'Without VBA'!$F$12*_xlfn.STDEV.P($E$7:$E$374)</f>
        <v>0.16157057372050279</v>
      </c>
      <c r="H111" s="26">
        <f>F111-'Without VBA'!$F$12*_xlfn.STDEV.P($E$7:$E$374)</f>
        <v>-0.15820505653127495</v>
      </c>
    </row>
    <row r="112" spans="2:8" x14ac:dyDescent="0.25">
      <c r="B112" s="25">
        <v>39387</v>
      </c>
      <c r="C112" s="7">
        <v>11526.3</v>
      </c>
      <c r="D112" s="7">
        <v>10748.8</v>
      </c>
      <c r="E112" s="29">
        <f t="shared" si="2"/>
        <v>-6.745443030287257E-2</v>
      </c>
      <c r="F112" s="29">
        <f t="shared" si="3"/>
        <v>1.6827585946139311E-3</v>
      </c>
      <c r="G112" s="29">
        <f>F112+'Without VBA'!$F$12*_xlfn.STDEV.P($E$7:$E$374)</f>
        <v>0.16157057372050279</v>
      </c>
      <c r="H112" s="26">
        <f>F112-'Without VBA'!$F$12*_xlfn.STDEV.P($E$7:$E$374)</f>
        <v>-0.15820505653127495</v>
      </c>
    </row>
    <row r="113" spans="2:8" x14ac:dyDescent="0.25">
      <c r="B113" s="25">
        <v>39356</v>
      </c>
      <c r="C113" s="7">
        <v>11081.5</v>
      </c>
      <c r="D113" s="7">
        <v>11666</v>
      </c>
      <c r="E113" s="29">
        <f t="shared" si="2"/>
        <v>5.2745566935884128E-2</v>
      </c>
      <c r="F113" s="29">
        <f t="shared" si="3"/>
        <v>1.6827585946139311E-3</v>
      </c>
      <c r="G113" s="29">
        <f>F113+'Without VBA'!$F$12*_xlfn.STDEV.P($E$7:$E$374)</f>
        <v>0.16157057372050279</v>
      </c>
      <c r="H113" s="26">
        <f>F113-'Without VBA'!$F$12*_xlfn.STDEV.P($E$7:$E$374)</f>
        <v>-0.15820505653127495</v>
      </c>
    </row>
    <row r="114" spans="2:8" x14ac:dyDescent="0.25">
      <c r="B114" s="25">
        <v>39328</v>
      </c>
      <c r="C114" s="7">
        <v>11358.4</v>
      </c>
      <c r="D114" s="7">
        <v>11037.4</v>
      </c>
      <c r="E114" s="29">
        <f t="shared" si="2"/>
        <v>-2.82610226792506E-2</v>
      </c>
      <c r="F114" s="29">
        <f t="shared" si="3"/>
        <v>1.6827585946139311E-3</v>
      </c>
      <c r="G114" s="29">
        <f>F114+'Without VBA'!$F$12*_xlfn.STDEV.P($E$7:$E$374)</f>
        <v>0.16157057372050279</v>
      </c>
      <c r="H114" s="26">
        <f>F114-'Without VBA'!$F$12*_xlfn.STDEV.P($E$7:$E$374)</f>
        <v>-0.15820505653127495</v>
      </c>
    </row>
    <row r="115" spans="2:8" x14ac:dyDescent="0.25">
      <c r="B115" s="25">
        <v>39295</v>
      </c>
      <c r="C115" s="7">
        <v>11188.9</v>
      </c>
      <c r="D115" s="7">
        <v>11309.2</v>
      </c>
      <c r="E115" s="29">
        <f t="shared" si="2"/>
        <v>1.075172715816578E-2</v>
      </c>
      <c r="F115" s="29">
        <f t="shared" si="3"/>
        <v>1.6827585946139311E-3</v>
      </c>
      <c r="G115" s="29">
        <f>F115+'Without VBA'!$F$12*_xlfn.STDEV.P($E$7:$E$374)</f>
        <v>0.16157057372050279</v>
      </c>
      <c r="H115" s="26">
        <f>F115-'Without VBA'!$F$12*_xlfn.STDEV.P($E$7:$E$374)</f>
        <v>-0.15820505653127495</v>
      </c>
    </row>
    <row r="116" spans="2:8" x14ac:dyDescent="0.25">
      <c r="B116" s="25">
        <v>39265</v>
      </c>
      <c r="C116" s="7">
        <v>11534.3</v>
      </c>
      <c r="D116" s="7">
        <v>11337.5</v>
      </c>
      <c r="E116" s="29">
        <f t="shared" si="2"/>
        <v>-1.7062153750119147E-2</v>
      </c>
      <c r="F116" s="29">
        <f t="shared" si="3"/>
        <v>1.6827585946139311E-3</v>
      </c>
      <c r="G116" s="29">
        <f>F116+'Without VBA'!$F$12*_xlfn.STDEV.P($E$7:$E$374)</f>
        <v>0.16157057372050279</v>
      </c>
      <c r="H116" s="26">
        <f>F116-'Without VBA'!$F$12*_xlfn.STDEV.P($E$7:$E$374)</f>
        <v>-0.15820505653127495</v>
      </c>
    </row>
    <row r="117" spans="2:8" x14ac:dyDescent="0.25">
      <c r="B117" s="25">
        <v>39234</v>
      </c>
      <c r="C117" s="7">
        <v>12196.7</v>
      </c>
      <c r="D117" s="7">
        <v>11527.6</v>
      </c>
      <c r="E117" s="29">
        <f t="shared" si="2"/>
        <v>-5.4859101232300568E-2</v>
      </c>
      <c r="F117" s="29">
        <f t="shared" si="3"/>
        <v>1.6827585946139311E-3</v>
      </c>
      <c r="G117" s="29">
        <f>F117+'Without VBA'!$F$12*_xlfn.STDEV.P($E$7:$E$374)</f>
        <v>0.16157057372050279</v>
      </c>
      <c r="H117" s="26">
        <f>F117-'Without VBA'!$F$12*_xlfn.STDEV.P($E$7:$E$374)</f>
        <v>-0.15820505653127495</v>
      </c>
    </row>
    <row r="118" spans="2:8" x14ac:dyDescent="0.25">
      <c r="B118" s="25">
        <v>39203</v>
      </c>
      <c r="C118" s="7">
        <v>11911.4</v>
      </c>
      <c r="D118" s="7">
        <v>12111.1</v>
      </c>
      <c r="E118" s="29">
        <f t="shared" si="2"/>
        <v>1.6765451584196712E-2</v>
      </c>
      <c r="F118" s="29">
        <f t="shared" si="3"/>
        <v>1.6827585946139311E-3</v>
      </c>
      <c r="G118" s="29">
        <f>F118+'Without VBA'!$F$12*_xlfn.STDEV.P($E$7:$E$374)</f>
        <v>0.16157057372050279</v>
      </c>
      <c r="H118" s="26">
        <f>F118-'Without VBA'!$F$12*_xlfn.STDEV.P($E$7:$E$374)</f>
        <v>-0.15820505653127495</v>
      </c>
    </row>
    <row r="119" spans="2:8" x14ac:dyDescent="0.25">
      <c r="B119" s="25">
        <v>39174</v>
      </c>
      <c r="C119" s="7">
        <v>11759.8</v>
      </c>
      <c r="D119" s="7">
        <v>11929.4</v>
      </c>
      <c r="E119" s="29">
        <f t="shared" si="2"/>
        <v>1.4422013979829621E-2</v>
      </c>
      <c r="F119" s="29">
        <f t="shared" si="3"/>
        <v>1.6827585946139311E-3</v>
      </c>
      <c r="G119" s="29">
        <f>F119+'Without VBA'!$F$12*_xlfn.STDEV.P($E$7:$E$374)</f>
        <v>0.16157057372050279</v>
      </c>
      <c r="H119" s="26">
        <f>F119-'Without VBA'!$F$12*_xlfn.STDEV.P($E$7:$E$374)</f>
        <v>-0.15820505653127495</v>
      </c>
    </row>
    <row r="120" spans="2:8" x14ac:dyDescent="0.25">
      <c r="B120" s="25">
        <v>39142</v>
      </c>
      <c r="C120" s="7">
        <v>10983.9</v>
      </c>
      <c r="D120" s="7">
        <v>11689.3</v>
      </c>
      <c r="E120" s="29">
        <f t="shared" si="2"/>
        <v>6.4221269312357152E-2</v>
      </c>
      <c r="F120" s="29">
        <f t="shared" si="3"/>
        <v>1.6827585946139311E-3</v>
      </c>
      <c r="G120" s="29">
        <f>F120+'Without VBA'!$F$12*_xlfn.STDEV.P($E$7:$E$374)</f>
        <v>0.16157057372050279</v>
      </c>
      <c r="H120" s="26">
        <f>F120-'Without VBA'!$F$12*_xlfn.STDEV.P($E$7:$E$374)</f>
        <v>-0.15820505653127495</v>
      </c>
    </row>
    <row r="121" spans="2:8" x14ac:dyDescent="0.25">
      <c r="B121" s="25">
        <v>39114</v>
      </c>
      <c r="C121" s="7">
        <v>11221.5</v>
      </c>
      <c r="D121" s="7">
        <v>11082.9</v>
      </c>
      <c r="E121" s="29">
        <f t="shared" si="2"/>
        <v>-1.2351289934500768E-2</v>
      </c>
      <c r="F121" s="29">
        <f t="shared" si="3"/>
        <v>1.6827585946139311E-3</v>
      </c>
      <c r="G121" s="29">
        <f>F121+'Without VBA'!$F$12*_xlfn.STDEV.P($E$7:$E$374)</f>
        <v>0.16157057372050279</v>
      </c>
      <c r="H121" s="26">
        <f>F121-'Without VBA'!$F$12*_xlfn.STDEV.P($E$7:$E$374)</f>
        <v>-0.15820505653127495</v>
      </c>
    </row>
    <row r="122" spans="2:8" x14ac:dyDescent="0.25">
      <c r="B122" s="25">
        <v>39084</v>
      </c>
      <c r="C122" s="7">
        <v>11312.6</v>
      </c>
      <c r="D122" s="7">
        <v>11100.3</v>
      </c>
      <c r="E122" s="29">
        <f t="shared" si="2"/>
        <v>-1.8766684935381882E-2</v>
      </c>
      <c r="F122" s="29">
        <f t="shared" si="3"/>
        <v>1.6827585946139311E-3</v>
      </c>
      <c r="G122" s="29">
        <f>F122+'Without VBA'!$F$12*_xlfn.STDEV.P($E$7:$E$374)</f>
        <v>0.16157057372050279</v>
      </c>
      <c r="H122" s="26">
        <f>F122-'Without VBA'!$F$12*_xlfn.STDEV.P($E$7:$E$374)</f>
        <v>-0.15820505653127495</v>
      </c>
    </row>
    <row r="123" spans="2:8" x14ac:dyDescent="0.25">
      <c r="B123" s="25">
        <v>39052</v>
      </c>
      <c r="C123" s="7">
        <v>10698.9</v>
      </c>
      <c r="D123" s="7">
        <v>11177.8</v>
      </c>
      <c r="E123" s="29">
        <f t="shared" si="2"/>
        <v>4.4761611006738977E-2</v>
      </c>
      <c r="F123" s="29">
        <f t="shared" si="3"/>
        <v>1.6827585946139311E-3</v>
      </c>
      <c r="G123" s="29">
        <f>F123+'Without VBA'!$F$12*_xlfn.STDEV.P($E$7:$E$374)</f>
        <v>0.16157057372050279</v>
      </c>
      <c r="H123" s="26">
        <f>F123-'Without VBA'!$F$12*_xlfn.STDEV.P($E$7:$E$374)</f>
        <v>-0.15820505653127495</v>
      </c>
    </row>
    <row r="124" spans="2:8" x14ac:dyDescent="0.25">
      <c r="B124" s="25">
        <v>39022</v>
      </c>
      <c r="C124" s="7">
        <v>10408.9</v>
      </c>
      <c r="D124" s="7">
        <v>10674</v>
      </c>
      <c r="E124" s="29">
        <f t="shared" si="2"/>
        <v>2.5468589380241945E-2</v>
      </c>
      <c r="F124" s="29">
        <f t="shared" si="3"/>
        <v>1.6827585946139311E-3</v>
      </c>
      <c r="G124" s="29">
        <f>F124+'Without VBA'!$F$12*_xlfn.STDEV.P($E$7:$E$374)</f>
        <v>0.16157057372050279</v>
      </c>
      <c r="H124" s="26">
        <f>F124-'Without VBA'!$F$12*_xlfn.STDEV.P($E$7:$E$374)</f>
        <v>-0.15820505653127495</v>
      </c>
    </row>
    <row r="125" spans="2:8" x14ac:dyDescent="0.25">
      <c r="B125" s="25">
        <v>38992</v>
      </c>
      <c r="C125" s="7">
        <v>10023.9</v>
      </c>
      <c r="D125" s="7">
        <v>10372.200000000001</v>
      </c>
      <c r="E125" s="29">
        <f t="shared" si="2"/>
        <v>3.4746954778080499E-2</v>
      </c>
      <c r="F125" s="29">
        <f t="shared" si="3"/>
        <v>1.6827585946139311E-3</v>
      </c>
      <c r="G125" s="29">
        <f>F125+'Without VBA'!$F$12*_xlfn.STDEV.P($E$7:$E$374)</f>
        <v>0.16157057372050279</v>
      </c>
      <c r="H125" s="26">
        <f>F125-'Without VBA'!$F$12*_xlfn.STDEV.P($E$7:$E$374)</f>
        <v>-0.15820505653127495</v>
      </c>
    </row>
    <row r="126" spans="2:8" x14ac:dyDescent="0.25">
      <c r="B126" s="25">
        <v>38961</v>
      </c>
      <c r="C126" s="7">
        <v>9702.1</v>
      </c>
      <c r="D126" s="7">
        <v>9996.7800000000007</v>
      </c>
      <c r="E126" s="29">
        <f t="shared" si="2"/>
        <v>3.0372805887385234E-2</v>
      </c>
      <c r="F126" s="29">
        <f t="shared" si="3"/>
        <v>1.6827585946139311E-3</v>
      </c>
      <c r="G126" s="29">
        <f>F126+'Without VBA'!$F$12*_xlfn.STDEV.P($E$7:$E$374)</f>
        <v>0.16157057372050279</v>
      </c>
      <c r="H126" s="26">
        <f>F126-'Without VBA'!$F$12*_xlfn.STDEV.P($E$7:$E$374)</f>
        <v>-0.15820505653127495</v>
      </c>
    </row>
    <row r="127" spans="2:8" x14ac:dyDescent="0.25">
      <c r="B127" s="25">
        <v>38930</v>
      </c>
      <c r="C127" s="7">
        <v>9344.68</v>
      </c>
      <c r="D127" s="7">
        <v>9601.16</v>
      </c>
      <c r="E127" s="29">
        <f t="shared" si="2"/>
        <v>2.7446632736487449E-2</v>
      </c>
      <c r="F127" s="29">
        <f t="shared" si="3"/>
        <v>1.6827585946139311E-3</v>
      </c>
      <c r="G127" s="29">
        <f>F127+'Without VBA'!$F$12*_xlfn.STDEV.P($E$7:$E$374)</f>
        <v>0.16157057372050279</v>
      </c>
      <c r="H127" s="26">
        <f>F127-'Without VBA'!$F$12*_xlfn.STDEV.P($E$7:$E$374)</f>
        <v>-0.15820505653127495</v>
      </c>
    </row>
    <row r="128" spans="2:8" x14ac:dyDescent="0.25">
      <c r="B128" s="25">
        <v>38901</v>
      </c>
      <c r="C128" s="7">
        <v>9496.81</v>
      </c>
      <c r="D128" s="7">
        <v>9355.56</v>
      </c>
      <c r="E128" s="29">
        <f t="shared" si="2"/>
        <v>-1.4873415388956925E-2</v>
      </c>
      <c r="F128" s="29">
        <f t="shared" si="3"/>
        <v>1.6827585946139311E-3</v>
      </c>
      <c r="G128" s="29">
        <f>F128+'Without VBA'!$F$12*_xlfn.STDEV.P($E$7:$E$374)</f>
        <v>0.16157057372050279</v>
      </c>
      <c r="H128" s="26">
        <f>F128-'Without VBA'!$F$12*_xlfn.STDEV.P($E$7:$E$374)</f>
        <v>-0.15820505653127495</v>
      </c>
    </row>
    <row r="129" spans="2:8" x14ac:dyDescent="0.25">
      <c r="B129" s="25">
        <v>38869</v>
      </c>
      <c r="C129" s="7">
        <v>9310.42</v>
      </c>
      <c r="D129" s="7">
        <v>9422.67</v>
      </c>
      <c r="E129" s="29">
        <f t="shared" si="2"/>
        <v>1.205638413734289E-2</v>
      </c>
      <c r="F129" s="29">
        <f t="shared" si="3"/>
        <v>1.6827585946139311E-3</v>
      </c>
      <c r="G129" s="29">
        <f>F129+'Without VBA'!$F$12*_xlfn.STDEV.P($E$7:$E$374)</f>
        <v>0.16157057372050279</v>
      </c>
      <c r="H129" s="26">
        <f>F129-'Without VBA'!$F$12*_xlfn.STDEV.P($E$7:$E$374)</f>
        <v>-0.15820505653127495</v>
      </c>
    </row>
    <row r="130" spans="2:8" x14ac:dyDescent="0.25">
      <c r="B130" s="25">
        <v>38839</v>
      </c>
      <c r="C130" s="7">
        <v>9924.3700000000008</v>
      </c>
      <c r="D130" s="7">
        <v>9298.23</v>
      </c>
      <c r="E130" s="29">
        <f t="shared" si="2"/>
        <v>-6.3091158431215405E-2</v>
      </c>
      <c r="F130" s="29">
        <f t="shared" si="3"/>
        <v>1.6827585946139311E-3</v>
      </c>
      <c r="G130" s="29">
        <f>F130+'Without VBA'!$F$12*_xlfn.STDEV.P($E$7:$E$374)</f>
        <v>0.16157057372050279</v>
      </c>
      <c r="H130" s="26">
        <f>F130-'Without VBA'!$F$12*_xlfn.STDEV.P($E$7:$E$374)</f>
        <v>-0.15820505653127495</v>
      </c>
    </row>
    <row r="131" spans="2:8" x14ac:dyDescent="0.25">
      <c r="B131" s="25">
        <v>38810</v>
      </c>
      <c r="C131" s="7">
        <v>9881.0400000000009</v>
      </c>
      <c r="D131" s="7">
        <v>9878.67</v>
      </c>
      <c r="E131" s="29">
        <f t="shared" si="2"/>
        <v>-2.3985329479496087E-4</v>
      </c>
      <c r="F131" s="29">
        <f t="shared" si="3"/>
        <v>1.6827585946139311E-3</v>
      </c>
      <c r="G131" s="29">
        <f>F131+'Without VBA'!$F$12*_xlfn.STDEV.P($E$7:$E$374)</f>
        <v>0.16157057372050279</v>
      </c>
      <c r="H131" s="26">
        <f>F131-'Without VBA'!$F$12*_xlfn.STDEV.P($E$7:$E$374)</f>
        <v>-0.15820505653127495</v>
      </c>
    </row>
    <row r="132" spans="2:8" x14ac:dyDescent="0.25">
      <c r="B132" s="25">
        <v>38777</v>
      </c>
      <c r="C132" s="7">
        <v>9503.8700000000008</v>
      </c>
      <c r="D132" s="7">
        <v>9850.27</v>
      </c>
      <c r="E132" s="29">
        <f t="shared" si="2"/>
        <v>3.6448310004240335E-2</v>
      </c>
      <c r="F132" s="29">
        <f t="shared" si="3"/>
        <v>1.6827585946139311E-3</v>
      </c>
      <c r="G132" s="29">
        <f>F132+'Without VBA'!$F$12*_xlfn.STDEV.P($E$7:$E$374)</f>
        <v>0.16157057372050279</v>
      </c>
      <c r="H132" s="26">
        <f>F132-'Without VBA'!$F$12*_xlfn.STDEV.P($E$7:$E$374)</f>
        <v>-0.15820505653127495</v>
      </c>
    </row>
    <row r="133" spans="2:8" x14ac:dyDescent="0.25">
      <c r="B133" s="25">
        <v>38749</v>
      </c>
      <c r="C133" s="7">
        <v>9276.08</v>
      </c>
      <c r="D133" s="7">
        <v>9448.26</v>
      </c>
      <c r="E133" s="29">
        <f t="shared" si="2"/>
        <v>1.8561720036912175E-2</v>
      </c>
      <c r="F133" s="29">
        <f t="shared" si="3"/>
        <v>1.6827585946139311E-3</v>
      </c>
      <c r="G133" s="29">
        <f>F133+'Without VBA'!$F$12*_xlfn.STDEV.P($E$7:$E$374)</f>
        <v>0.16157057372050279</v>
      </c>
      <c r="H133" s="26">
        <f>F133-'Without VBA'!$F$12*_xlfn.STDEV.P($E$7:$E$374)</f>
        <v>-0.15820505653127495</v>
      </c>
    </row>
    <row r="134" spans="2:8" x14ac:dyDescent="0.25">
      <c r="B134" s="25">
        <v>38720</v>
      </c>
      <c r="C134" s="7">
        <v>8893.35</v>
      </c>
      <c r="D134" s="7">
        <v>9172.59</v>
      </c>
      <c r="E134" s="29">
        <f t="shared" si="2"/>
        <v>3.1398741756480941E-2</v>
      </c>
      <c r="F134" s="29">
        <f t="shared" si="3"/>
        <v>1.6827585946139311E-3</v>
      </c>
      <c r="G134" s="29">
        <f>F134+'Without VBA'!$F$12*_xlfn.STDEV.P($E$7:$E$374)</f>
        <v>0.16157057372050279</v>
      </c>
      <c r="H134" s="26">
        <f>F134-'Without VBA'!$F$12*_xlfn.STDEV.P($E$7:$E$374)</f>
        <v>-0.15820505653127495</v>
      </c>
    </row>
    <row r="135" spans="2:8" x14ac:dyDescent="0.25">
      <c r="B135" s="25">
        <v>38687</v>
      </c>
      <c r="C135" s="7">
        <v>8400.57</v>
      </c>
      <c r="D135" s="7">
        <v>8794.32</v>
      </c>
      <c r="E135" s="29">
        <f t="shared" ref="E135:E198" si="4">(D135-C135)/C135</f>
        <v>4.687181941225417E-2</v>
      </c>
      <c r="F135" s="29">
        <f t="shared" ref="F135:F198" si="5">AVERAGE($E$7:$E$374)</f>
        <v>1.6827585946139311E-3</v>
      </c>
      <c r="G135" s="29">
        <f>F135+'Without VBA'!$F$12*_xlfn.STDEV.P($E$7:$E$374)</f>
        <v>0.16157057372050279</v>
      </c>
      <c r="H135" s="26">
        <f>F135-'Without VBA'!$F$12*_xlfn.STDEV.P($E$7:$E$374)</f>
        <v>-0.15820505653127495</v>
      </c>
    </row>
    <row r="136" spans="2:8" x14ac:dyDescent="0.25">
      <c r="B136" s="25">
        <v>38657</v>
      </c>
      <c r="C136" s="7">
        <v>7777.11</v>
      </c>
      <c r="D136" s="7">
        <v>8327.94</v>
      </c>
      <c r="E136" s="29">
        <f t="shared" si="4"/>
        <v>7.0827081010812615E-2</v>
      </c>
      <c r="F136" s="29">
        <f t="shared" si="5"/>
        <v>1.6827585946139311E-3</v>
      </c>
      <c r="G136" s="29">
        <f>F136+'Without VBA'!$F$12*_xlfn.STDEV.P($E$7:$E$374)</f>
        <v>0.16157057372050279</v>
      </c>
      <c r="H136" s="26">
        <f>F136-'Without VBA'!$F$12*_xlfn.STDEV.P($E$7:$E$374)</f>
        <v>-0.15820505653127495</v>
      </c>
    </row>
    <row r="137" spans="2:8" x14ac:dyDescent="0.25">
      <c r="B137" s="25">
        <v>38628</v>
      </c>
      <c r="C137" s="7">
        <v>7967.88</v>
      </c>
      <c r="D137" s="7">
        <v>7711.14</v>
      </c>
      <c r="E137" s="29">
        <f t="shared" si="4"/>
        <v>-3.2221870811307368E-2</v>
      </c>
      <c r="F137" s="29">
        <f t="shared" si="5"/>
        <v>1.6827585946139311E-3</v>
      </c>
      <c r="G137" s="29">
        <f>F137+'Without VBA'!$F$12*_xlfn.STDEV.P($E$7:$E$374)</f>
        <v>0.16157057372050279</v>
      </c>
      <c r="H137" s="26">
        <f>F137-'Without VBA'!$F$12*_xlfn.STDEV.P($E$7:$E$374)</f>
        <v>-0.15820505653127495</v>
      </c>
    </row>
    <row r="138" spans="2:8" x14ac:dyDescent="0.25">
      <c r="B138" s="25">
        <v>38596</v>
      </c>
      <c r="C138" s="7">
        <v>7798.5</v>
      </c>
      <c r="D138" s="7">
        <v>7951.11</v>
      </c>
      <c r="E138" s="29">
        <f t="shared" si="4"/>
        <v>1.9569147913060161E-2</v>
      </c>
      <c r="F138" s="29">
        <f t="shared" si="5"/>
        <v>1.6827585946139311E-3</v>
      </c>
      <c r="G138" s="29">
        <f>F138+'Without VBA'!$F$12*_xlfn.STDEV.P($E$7:$E$374)</f>
        <v>0.16157057372050279</v>
      </c>
      <c r="H138" s="26">
        <f>F138-'Without VBA'!$F$12*_xlfn.STDEV.P($E$7:$E$374)</f>
        <v>-0.15820505653127495</v>
      </c>
    </row>
    <row r="139" spans="2:8" x14ac:dyDescent="0.25">
      <c r="B139" s="25">
        <v>38565</v>
      </c>
      <c r="C139" s="7">
        <v>7617.82</v>
      </c>
      <c r="D139" s="7">
        <v>7749.23</v>
      </c>
      <c r="E139" s="29">
        <f t="shared" si="4"/>
        <v>1.7250341961348503E-2</v>
      </c>
      <c r="F139" s="29">
        <f t="shared" si="5"/>
        <v>1.6827585946139311E-3</v>
      </c>
      <c r="G139" s="29">
        <f>F139+'Without VBA'!$F$12*_xlfn.STDEV.P($E$7:$E$374)</f>
        <v>0.16157057372050279</v>
      </c>
      <c r="H139" s="26">
        <f>F139-'Without VBA'!$F$12*_xlfn.STDEV.P($E$7:$E$374)</f>
        <v>-0.15820505653127495</v>
      </c>
    </row>
    <row r="140" spans="2:8" x14ac:dyDescent="0.25">
      <c r="B140" s="25">
        <v>38534</v>
      </c>
      <c r="C140" s="7">
        <v>7446.15</v>
      </c>
      <c r="D140" s="7">
        <v>7605.1</v>
      </c>
      <c r="E140" s="29">
        <f t="shared" si="4"/>
        <v>2.134660193522837E-2</v>
      </c>
      <c r="F140" s="29">
        <f t="shared" si="5"/>
        <v>1.6827585946139311E-3</v>
      </c>
      <c r="G140" s="29">
        <f>F140+'Without VBA'!$F$12*_xlfn.STDEV.P($E$7:$E$374)</f>
        <v>0.16157057372050279</v>
      </c>
      <c r="H140" s="26">
        <f>F140-'Without VBA'!$F$12*_xlfn.STDEV.P($E$7:$E$374)</f>
        <v>-0.15820505653127495</v>
      </c>
    </row>
    <row r="141" spans="2:8" x14ac:dyDescent="0.25">
      <c r="B141" s="25">
        <v>38504</v>
      </c>
      <c r="C141" s="7">
        <v>7148.22</v>
      </c>
      <c r="D141" s="7">
        <v>7368.72</v>
      </c>
      <c r="E141" s="29">
        <f t="shared" si="4"/>
        <v>3.0846840192383557E-2</v>
      </c>
      <c r="F141" s="29">
        <f t="shared" si="5"/>
        <v>1.6827585946139311E-3</v>
      </c>
      <c r="G141" s="29">
        <f>F141+'Without VBA'!$F$12*_xlfn.STDEV.P($E$7:$E$374)</f>
        <v>0.16157057372050279</v>
      </c>
      <c r="H141" s="26">
        <f>F141-'Without VBA'!$F$12*_xlfn.STDEV.P($E$7:$E$374)</f>
        <v>-0.15820505653127495</v>
      </c>
    </row>
    <row r="142" spans="2:8" x14ac:dyDescent="0.25">
      <c r="B142" s="25">
        <v>38475</v>
      </c>
      <c r="C142" s="7">
        <v>6786.9</v>
      </c>
      <c r="D142" s="7">
        <v>7114.3</v>
      </c>
      <c r="E142" s="29">
        <f t="shared" si="4"/>
        <v>4.8239991748810288E-2</v>
      </c>
      <c r="F142" s="29">
        <f t="shared" si="5"/>
        <v>1.6827585946139311E-3</v>
      </c>
      <c r="G142" s="29">
        <f>F142+'Without VBA'!$F$12*_xlfn.STDEV.P($E$7:$E$374)</f>
        <v>0.16157057372050279</v>
      </c>
      <c r="H142" s="26">
        <f>F142-'Without VBA'!$F$12*_xlfn.STDEV.P($E$7:$E$374)</f>
        <v>-0.15820505653127495</v>
      </c>
    </row>
    <row r="143" spans="2:8" x14ac:dyDescent="0.25">
      <c r="B143" s="25">
        <v>38443</v>
      </c>
      <c r="C143" s="7">
        <v>7180.56</v>
      </c>
      <c r="D143" s="7">
        <v>6728.9</v>
      </c>
      <c r="E143" s="29">
        <f t="shared" si="4"/>
        <v>-6.290038659937397E-2</v>
      </c>
      <c r="F143" s="29">
        <f t="shared" si="5"/>
        <v>1.6827585946139311E-3</v>
      </c>
      <c r="G143" s="29">
        <f>F143+'Without VBA'!$F$12*_xlfn.STDEV.P($E$7:$E$374)</f>
        <v>0.16157057372050279</v>
      </c>
      <c r="H143" s="26">
        <f>F143-'Without VBA'!$F$12*_xlfn.STDEV.P($E$7:$E$374)</f>
        <v>-0.15820505653127495</v>
      </c>
    </row>
    <row r="144" spans="2:8" x14ac:dyDescent="0.25">
      <c r="B144" s="25">
        <v>38412</v>
      </c>
      <c r="C144" s="7">
        <v>7280.76</v>
      </c>
      <c r="D144" s="7">
        <v>7130.51</v>
      </c>
      <c r="E144" s="29">
        <f t="shared" si="4"/>
        <v>-2.0636581895296643E-2</v>
      </c>
      <c r="F144" s="29">
        <f t="shared" si="5"/>
        <v>1.6827585946139311E-3</v>
      </c>
      <c r="G144" s="29">
        <f>F144+'Without VBA'!$F$12*_xlfn.STDEV.P($E$7:$E$374)</f>
        <v>0.16157057372050279</v>
      </c>
      <c r="H144" s="26">
        <f>F144-'Without VBA'!$F$12*_xlfn.STDEV.P($E$7:$E$374)</f>
        <v>-0.15820505653127495</v>
      </c>
    </row>
    <row r="145" spans="2:8" x14ac:dyDescent="0.25">
      <c r="B145" s="25">
        <v>38384</v>
      </c>
      <c r="C145" s="7">
        <v>7225.45</v>
      </c>
      <c r="D145" s="7">
        <v>7254.02</v>
      </c>
      <c r="E145" s="29">
        <f t="shared" si="4"/>
        <v>3.954078984700001E-3</v>
      </c>
      <c r="F145" s="29">
        <f t="shared" si="5"/>
        <v>1.6827585946139311E-3</v>
      </c>
      <c r="G145" s="29">
        <f>F145+'Without VBA'!$F$12*_xlfn.STDEV.P($E$7:$E$374)</f>
        <v>0.16157057372050279</v>
      </c>
      <c r="H145" s="26">
        <f>F145-'Without VBA'!$F$12*_xlfn.STDEV.P($E$7:$E$374)</f>
        <v>-0.15820505653127495</v>
      </c>
    </row>
    <row r="146" spans="2:8" x14ac:dyDescent="0.25">
      <c r="B146" s="25">
        <v>38356</v>
      </c>
      <c r="C146" s="7">
        <v>6983.42</v>
      </c>
      <c r="D146" s="7">
        <v>7166.2</v>
      </c>
      <c r="E146" s="29">
        <f t="shared" si="4"/>
        <v>2.6173422191419066E-2</v>
      </c>
      <c r="F146" s="29">
        <f t="shared" si="5"/>
        <v>1.6827585946139311E-3</v>
      </c>
      <c r="G146" s="29">
        <f>F146+'Without VBA'!$F$12*_xlfn.STDEV.P($E$7:$E$374)</f>
        <v>0.16157057372050279</v>
      </c>
      <c r="H146" s="26">
        <f>F146-'Without VBA'!$F$12*_xlfn.STDEV.P($E$7:$E$374)</f>
        <v>-0.15820505653127495</v>
      </c>
    </row>
    <row r="147" spans="2:8" x14ac:dyDescent="0.25">
      <c r="B147" s="25">
        <v>38322</v>
      </c>
      <c r="C147" s="7">
        <v>6594.11</v>
      </c>
      <c r="D147" s="7">
        <v>6936.8</v>
      </c>
      <c r="E147" s="29">
        <f t="shared" si="4"/>
        <v>5.1969105762566976E-2</v>
      </c>
      <c r="F147" s="29">
        <f t="shared" si="5"/>
        <v>1.6827585946139311E-3</v>
      </c>
      <c r="G147" s="29">
        <f>F147+'Without VBA'!$F$12*_xlfn.STDEV.P($E$7:$E$374)</f>
        <v>0.16157057372050279</v>
      </c>
      <c r="H147" s="26">
        <f>F147-'Without VBA'!$F$12*_xlfn.STDEV.P($E$7:$E$374)</f>
        <v>-0.15820505653127495</v>
      </c>
    </row>
    <row r="148" spans="2:8" x14ac:dyDescent="0.25">
      <c r="B148" s="25">
        <v>38292</v>
      </c>
      <c r="C148" s="7">
        <v>6361.21</v>
      </c>
      <c r="D148" s="7">
        <v>6577.42</v>
      </c>
      <c r="E148" s="29">
        <f t="shared" si="4"/>
        <v>3.3988816593069564E-2</v>
      </c>
      <c r="F148" s="29">
        <f t="shared" si="5"/>
        <v>1.6827585946139311E-3</v>
      </c>
      <c r="G148" s="29">
        <f>F148+'Without VBA'!$F$12*_xlfn.STDEV.P($E$7:$E$374)</f>
        <v>0.16157057372050279</v>
      </c>
      <c r="H148" s="26">
        <f>F148-'Without VBA'!$F$12*_xlfn.STDEV.P($E$7:$E$374)</f>
        <v>-0.15820505653127495</v>
      </c>
    </row>
    <row r="149" spans="2:8" x14ac:dyDescent="0.25">
      <c r="B149" s="25">
        <v>38261</v>
      </c>
      <c r="C149" s="7">
        <v>6333.01</v>
      </c>
      <c r="D149" s="7">
        <v>6321.79</v>
      </c>
      <c r="E149" s="29">
        <f t="shared" si="4"/>
        <v>-1.7716693957534023E-3</v>
      </c>
      <c r="F149" s="29">
        <f t="shared" si="5"/>
        <v>1.6827585946139311E-3</v>
      </c>
      <c r="G149" s="29">
        <f>F149+'Without VBA'!$F$12*_xlfn.STDEV.P($E$7:$E$374)</f>
        <v>0.16157057372050279</v>
      </c>
      <c r="H149" s="26">
        <f>F149-'Without VBA'!$F$12*_xlfn.STDEV.P($E$7:$E$374)</f>
        <v>-0.15820505653127495</v>
      </c>
    </row>
    <row r="150" spans="2:8" x14ac:dyDescent="0.25">
      <c r="B150" s="25">
        <v>38231</v>
      </c>
      <c r="C150" s="7">
        <v>6108.69</v>
      </c>
      <c r="D150" s="7">
        <v>6269.05</v>
      </c>
      <c r="E150" s="29">
        <f t="shared" si="4"/>
        <v>2.6251127492146531E-2</v>
      </c>
      <c r="F150" s="29">
        <f t="shared" si="5"/>
        <v>1.6827585946139311E-3</v>
      </c>
      <c r="G150" s="29">
        <f>F150+'Without VBA'!$F$12*_xlfn.STDEV.P($E$7:$E$374)</f>
        <v>0.16157057372050279</v>
      </c>
      <c r="H150" s="26">
        <f>F150-'Without VBA'!$F$12*_xlfn.STDEV.P($E$7:$E$374)</f>
        <v>-0.15820505653127495</v>
      </c>
    </row>
    <row r="151" spans="2:8" x14ac:dyDescent="0.25">
      <c r="B151" s="25">
        <v>38201</v>
      </c>
      <c r="C151" s="7">
        <v>6017.68</v>
      </c>
      <c r="D151" s="7">
        <v>6087.26</v>
      </c>
      <c r="E151" s="29">
        <f t="shared" si="4"/>
        <v>1.1562595551774094E-2</v>
      </c>
      <c r="F151" s="29">
        <f t="shared" si="5"/>
        <v>1.6827585946139311E-3</v>
      </c>
      <c r="G151" s="29">
        <f>F151+'Without VBA'!$F$12*_xlfn.STDEV.P($E$7:$E$374)</f>
        <v>0.16157057372050279</v>
      </c>
      <c r="H151" s="26">
        <f>F151-'Without VBA'!$F$12*_xlfn.STDEV.P($E$7:$E$374)</f>
        <v>-0.15820505653127495</v>
      </c>
    </row>
    <row r="152" spans="2:8" x14ac:dyDescent="0.25">
      <c r="B152" s="25">
        <v>38169</v>
      </c>
      <c r="C152" s="7">
        <v>6240.02</v>
      </c>
      <c r="D152" s="7">
        <v>6023.52</v>
      </c>
      <c r="E152" s="29">
        <f t="shared" si="4"/>
        <v>-3.4695401617302508E-2</v>
      </c>
      <c r="F152" s="29">
        <f t="shared" si="5"/>
        <v>1.6827585946139311E-3</v>
      </c>
      <c r="G152" s="29">
        <f>F152+'Without VBA'!$F$12*_xlfn.STDEV.P($E$7:$E$374)</f>
        <v>0.16157057372050279</v>
      </c>
      <c r="H152" s="26">
        <f>F152-'Without VBA'!$F$12*_xlfn.STDEV.P($E$7:$E$374)</f>
        <v>-0.15820505653127495</v>
      </c>
    </row>
    <row r="153" spans="2:8" x14ac:dyDescent="0.25">
      <c r="B153" s="25">
        <v>38139</v>
      </c>
      <c r="C153" s="7">
        <v>6026.49</v>
      </c>
      <c r="D153" s="7">
        <v>6277.95</v>
      </c>
      <c r="E153" s="29">
        <f t="shared" si="4"/>
        <v>4.1725780678305291E-2</v>
      </c>
      <c r="F153" s="29">
        <f t="shared" si="5"/>
        <v>1.6827585946139311E-3</v>
      </c>
      <c r="G153" s="29">
        <f>F153+'Without VBA'!$F$12*_xlfn.STDEV.P($E$7:$E$374)</f>
        <v>0.16157057372050279</v>
      </c>
      <c r="H153" s="26">
        <f>F153-'Without VBA'!$F$12*_xlfn.STDEV.P($E$7:$E$374)</f>
        <v>-0.15820505653127495</v>
      </c>
    </row>
    <row r="154" spans="2:8" x14ac:dyDescent="0.25">
      <c r="B154" s="25">
        <v>38111</v>
      </c>
      <c r="C154" s="7">
        <v>6228.78</v>
      </c>
      <c r="D154" s="7">
        <v>6053.55</v>
      </c>
      <c r="E154" s="29">
        <f t="shared" si="4"/>
        <v>-2.8132314835328839E-2</v>
      </c>
      <c r="F154" s="29">
        <f t="shared" si="5"/>
        <v>1.6827585946139311E-3</v>
      </c>
      <c r="G154" s="29">
        <f>F154+'Without VBA'!$F$12*_xlfn.STDEV.P($E$7:$E$374)</f>
        <v>0.16157057372050279</v>
      </c>
      <c r="H154" s="26">
        <f>F154-'Without VBA'!$F$12*_xlfn.STDEV.P($E$7:$E$374)</f>
        <v>-0.15820505653127495</v>
      </c>
    </row>
    <row r="155" spans="2:8" x14ac:dyDescent="0.25">
      <c r="B155" s="25">
        <v>38078</v>
      </c>
      <c r="C155" s="7">
        <v>6294.25</v>
      </c>
      <c r="D155" s="7">
        <v>6210.68</v>
      </c>
      <c r="E155" s="29">
        <f t="shared" si="4"/>
        <v>-1.3277197442109817E-2</v>
      </c>
      <c r="F155" s="29">
        <f t="shared" si="5"/>
        <v>1.6827585946139311E-3</v>
      </c>
      <c r="G155" s="29">
        <f>F155+'Without VBA'!$F$12*_xlfn.STDEV.P($E$7:$E$374)</f>
        <v>0.16157057372050279</v>
      </c>
      <c r="H155" s="26">
        <f>F155-'Without VBA'!$F$12*_xlfn.STDEV.P($E$7:$E$374)</f>
        <v>-0.15820505653127495</v>
      </c>
    </row>
    <row r="156" spans="2:8" x14ac:dyDescent="0.25">
      <c r="B156" s="25">
        <v>38047</v>
      </c>
      <c r="C156" s="7">
        <v>6322.47</v>
      </c>
      <c r="D156" s="7">
        <v>6259.38</v>
      </c>
      <c r="E156" s="29">
        <f t="shared" si="4"/>
        <v>-9.978695035326406E-3</v>
      </c>
      <c r="F156" s="29">
        <f t="shared" si="5"/>
        <v>1.6827585946139311E-3</v>
      </c>
      <c r="G156" s="29">
        <f>F156+'Without VBA'!$F$12*_xlfn.STDEV.P($E$7:$E$374)</f>
        <v>0.16157057372050279</v>
      </c>
      <c r="H156" s="26">
        <f>F156-'Without VBA'!$F$12*_xlfn.STDEV.P($E$7:$E$374)</f>
        <v>-0.15820505653127495</v>
      </c>
    </row>
    <row r="157" spans="2:8" x14ac:dyDescent="0.25">
      <c r="B157" s="25">
        <v>38019</v>
      </c>
      <c r="C157" s="7">
        <v>6057.43</v>
      </c>
      <c r="D157" s="7">
        <v>6269.95</v>
      </c>
      <c r="E157" s="29">
        <f t="shared" si="4"/>
        <v>3.508418586760384E-2</v>
      </c>
      <c r="F157" s="29">
        <f t="shared" si="5"/>
        <v>1.6827585946139311E-3</v>
      </c>
      <c r="G157" s="29">
        <f>F157+'Without VBA'!$F$12*_xlfn.STDEV.P($E$7:$E$374)</f>
        <v>0.16157057372050279</v>
      </c>
      <c r="H157" s="26">
        <f>F157-'Without VBA'!$F$12*_xlfn.STDEV.P($E$7:$E$374)</f>
        <v>-0.15820505653127495</v>
      </c>
    </row>
    <row r="158" spans="2:8" x14ac:dyDescent="0.25">
      <c r="B158" s="25">
        <v>37988</v>
      </c>
      <c r="C158" s="7">
        <v>5834.14</v>
      </c>
      <c r="D158" s="7">
        <v>6023.89</v>
      </c>
      <c r="E158" s="29">
        <f t="shared" si="4"/>
        <v>3.2524073813792603E-2</v>
      </c>
      <c r="F158" s="29">
        <f t="shared" si="5"/>
        <v>1.6827585946139311E-3</v>
      </c>
      <c r="G158" s="29">
        <f>F158+'Without VBA'!$F$12*_xlfn.STDEV.P($E$7:$E$374)</f>
        <v>0.16157057372050279</v>
      </c>
      <c r="H158" s="26">
        <f>F158-'Without VBA'!$F$12*_xlfn.STDEV.P($E$7:$E$374)</f>
        <v>-0.15820505653127495</v>
      </c>
    </row>
    <row r="159" spans="2:8" x14ac:dyDescent="0.25">
      <c r="B159" s="25">
        <v>37956</v>
      </c>
      <c r="C159" s="7">
        <v>5753.02</v>
      </c>
      <c r="D159" s="7">
        <v>5802.28</v>
      </c>
      <c r="E159" s="29">
        <f t="shared" si="4"/>
        <v>8.5624593691659874E-3</v>
      </c>
      <c r="F159" s="29">
        <f t="shared" si="5"/>
        <v>1.6827585946139311E-3</v>
      </c>
      <c r="G159" s="29">
        <f>F159+'Without VBA'!$F$12*_xlfn.STDEV.P($E$7:$E$374)</f>
        <v>0.16157057372050279</v>
      </c>
      <c r="H159" s="26">
        <f>F159-'Without VBA'!$F$12*_xlfn.STDEV.P($E$7:$E$374)</f>
        <v>-0.15820505653127495</v>
      </c>
    </row>
    <row r="160" spans="2:8" x14ac:dyDescent="0.25">
      <c r="B160" s="25">
        <v>37928</v>
      </c>
      <c r="C160" s="7">
        <v>5768.18</v>
      </c>
      <c r="D160" s="7">
        <v>5712.63</v>
      </c>
      <c r="E160" s="29">
        <f t="shared" si="4"/>
        <v>-9.6304206872878766E-3</v>
      </c>
      <c r="F160" s="29">
        <f t="shared" si="5"/>
        <v>1.6827585946139311E-3</v>
      </c>
      <c r="G160" s="29">
        <f>F160+'Without VBA'!$F$12*_xlfn.STDEV.P($E$7:$E$374)</f>
        <v>0.16157057372050279</v>
      </c>
      <c r="H160" s="26">
        <f>F160-'Without VBA'!$F$12*_xlfn.STDEV.P($E$7:$E$374)</f>
        <v>-0.15820505653127495</v>
      </c>
    </row>
    <row r="161" spans="2:8" x14ac:dyDescent="0.25">
      <c r="B161" s="25">
        <v>37895</v>
      </c>
      <c r="C161" s="7">
        <v>5476.86</v>
      </c>
      <c r="D161" s="7">
        <v>5724.44</v>
      </c>
      <c r="E161" s="29">
        <f t="shared" si="4"/>
        <v>4.5204734099465745E-2</v>
      </c>
      <c r="F161" s="29">
        <f t="shared" si="5"/>
        <v>1.6827585946139311E-3</v>
      </c>
      <c r="G161" s="29">
        <f>F161+'Without VBA'!$F$12*_xlfn.STDEV.P($E$7:$E$374)</f>
        <v>0.16157057372050279</v>
      </c>
      <c r="H161" s="26">
        <f>F161-'Without VBA'!$F$12*_xlfn.STDEV.P($E$7:$E$374)</f>
        <v>-0.15820505653127495</v>
      </c>
    </row>
    <row r="162" spans="2:8" x14ac:dyDescent="0.25">
      <c r="B162" s="25">
        <v>37865</v>
      </c>
      <c r="C162" s="7">
        <v>5645.79</v>
      </c>
      <c r="D162" s="7">
        <v>5457.77</v>
      </c>
      <c r="E162" s="29">
        <f t="shared" si="4"/>
        <v>-3.3302691031724438E-2</v>
      </c>
      <c r="F162" s="29">
        <f t="shared" si="5"/>
        <v>1.6827585946139311E-3</v>
      </c>
      <c r="G162" s="29">
        <f>F162+'Without VBA'!$F$12*_xlfn.STDEV.P($E$7:$E$374)</f>
        <v>0.16157057372050279</v>
      </c>
      <c r="H162" s="26">
        <f>F162-'Without VBA'!$F$12*_xlfn.STDEV.P($E$7:$E$374)</f>
        <v>-0.15820505653127495</v>
      </c>
    </row>
    <row r="163" spans="2:8" x14ac:dyDescent="0.25">
      <c r="B163" s="25">
        <v>37834</v>
      </c>
      <c r="C163" s="7">
        <v>5345.1</v>
      </c>
      <c r="D163" s="7">
        <v>5593.24</v>
      </c>
      <c r="E163" s="29">
        <f t="shared" si="4"/>
        <v>4.6423827430730841E-2</v>
      </c>
      <c r="F163" s="29">
        <f t="shared" si="5"/>
        <v>1.6827585946139311E-3</v>
      </c>
      <c r="G163" s="29">
        <f>F163+'Without VBA'!$F$12*_xlfn.STDEV.P($E$7:$E$374)</f>
        <v>0.16157057372050279</v>
      </c>
      <c r="H163" s="26">
        <f>F163-'Without VBA'!$F$12*_xlfn.STDEV.P($E$7:$E$374)</f>
        <v>-0.15820505653127495</v>
      </c>
    </row>
    <row r="164" spans="2:8" x14ac:dyDescent="0.25">
      <c r="B164" s="25">
        <v>37803</v>
      </c>
      <c r="C164" s="7">
        <v>4925.3900000000003</v>
      </c>
      <c r="D164" s="7">
        <v>5325.59</v>
      </c>
      <c r="E164" s="29">
        <f t="shared" si="4"/>
        <v>8.125244904464414E-2</v>
      </c>
      <c r="F164" s="29">
        <f t="shared" si="5"/>
        <v>1.6827585946139311E-3</v>
      </c>
      <c r="G164" s="29">
        <f>F164+'Without VBA'!$F$12*_xlfn.STDEV.P($E$7:$E$374)</f>
        <v>0.16157057372050279</v>
      </c>
      <c r="H164" s="26">
        <f>F164-'Without VBA'!$F$12*_xlfn.STDEV.P($E$7:$E$374)</f>
        <v>-0.15820505653127495</v>
      </c>
    </row>
    <row r="165" spans="2:8" x14ac:dyDescent="0.25">
      <c r="B165" s="25">
        <v>37774</v>
      </c>
      <c r="C165" s="7">
        <v>4879.95</v>
      </c>
      <c r="D165" s="7">
        <v>4963.4399999999996</v>
      </c>
      <c r="E165" s="29">
        <f t="shared" si="4"/>
        <v>1.7108781852273033E-2</v>
      </c>
      <c r="F165" s="29">
        <f t="shared" si="5"/>
        <v>1.6827585946139311E-3</v>
      </c>
      <c r="G165" s="29">
        <f>F165+'Without VBA'!$F$12*_xlfn.STDEV.P($E$7:$E$374)</f>
        <v>0.16157057372050279</v>
      </c>
      <c r="H165" s="26">
        <f>F165-'Without VBA'!$F$12*_xlfn.STDEV.P($E$7:$E$374)</f>
        <v>-0.15820505653127495</v>
      </c>
    </row>
    <row r="166" spans="2:8" x14ac:dyDescent="0.25">
      <c r="B166" s="25">
        <v>37742</v>
      </c>
      <c r="C166" s="7">
        <v>4374.9399999999996</v>
      </c>
      <c r="D166" s="7">
        <v>4815.57</v>
      </c>
      <c r="E166" s="29">
        <f t="shared" si="4"/>
        <v>0.10071680983053485</v>
      </c>
      <c r="F166" s="29">
        <f t="shared" si="5"/>
        <v>1.6827585946139311E-3</v>
      </c>
      <c r="G166" s="29">
        <f>F166+'Without VBA'!$F$12*_xlfn.STDEV.P($E$7:$E$374)</f>
        <v>0.16157057372050279</v>
      </c>
      <c r="H166" s="26">
        <f>F166-'Without VBA'!$F$12*_xlfn.STDEV.P($E$7:$E$374)</f>
        <v>-0.15820505653127495</v>
      </c>
    </row>
    <row r="167" spans="2:8" x14ac:dyDescent="0.25">
      <c r="B167" s="25">
        <v>37712</v>
      </c>
      <c r="C167" s="7">
        <v>3967.29</v>
      </c>
      <c r="D167" s="7">
        <v>4389.33</v>
      </c>
      <c r="E167" s="29">
        <f t="shared" si="4"/>
        <v>0.10637992181060622</v>
      </c>
      <c r="F167" s="29">
        <f t="shared" si="5"/>
        <v>1.6827585946139311E-3</v>
      </c>
      <c r="G167" s="29">
        <f>F167+'Without VBA'!$F$12*_xlfn.STDEV.P($E$7:$E$374)</f>
        <v>0.16157057372050279</v>
      </c>
      <c r="H167" s="26">
        <f>F167-'Without VBA'!$F$12*_xlfn.STDEV.P($E$7:$E$374)</f>
        <v>-0.15820505653127495</v>
      </c>
    </row>
    <row r="168" spans="2:8" x14ac:dyDescent="0.25">
      <c r="B168" s="25">
        <v>37683</v>
      </c>
      <c r="C168" s="7">
        <v>4075.04</v>
      </c>
      <c r="D168" s="7">
        <v>3959.8</v>
      </c>
      <c r="E168" s="29">
        <f t="shared" si="4"/>
        <v>-2.8279477011268549E-2</v>
      </c>
      <c r="F168" s="29">
        <f t="shared" si="5"/>
        <v>1.6827585946139311E-3</v>
      </c>
      <c r="G168" s="29">
        <f>F168+'Without VBA'!$F$12*_xlfn.STDEV.P($E$7:$E$374)</f>
        <v>0.16157057372050279</v>
      </c>
      <c r="H168" s="26">
        <f>F168-'Without VBA'!$F$12*_xlfn.STDEV.P($E$7:$E$374)</f>
        <v>-0.15820505653127495</v>
      </c>
    </row>
    <row r="169" spans="2:8" x14ac:dyDescent="0.25">
      <c r="B169" s="25">
        <v>37655</v>
      </c>
      <c r="C169" s="7">
        <v>4071.8</v>
      </c>
      <c r="D169" s="7">
        <v>4037.58</v>
      </c>
      <c r="E169" s="29">
        <f t="shared" si="4"/>
        <v>-8.4041455867184672E-3</v>
      </c>
      <c r="F169" s="29">
        <f t="shared" si="5"/>
        <v>1.6827585946139311E-3</v>
      </c>
      <c r="G169" s="29">
        <f>F169+'Without VBA'!$F$12*_xlfn.STDEV.P($E$7:$E$374)</f>
        <v>0.16157057372050279</v>
      </c>
      <c r="H169" s="26">
        <f>F169-'Without VBA'!$F$12*_xlfn.STDEV.P($E$7:$E$374)</f>
        <v>-0.15820505653127495</v>
      </c>
    </row>
    <row r="170" spans="2:8" x14ac:dyDescent="0.25">
      <c r="B170" s="25">
        <v>37623</v>
      </c>
      <c r="C170" s="7">
        <v>4343.3900000000003</v>
      </c>
      <c r="D170" s="7">
        <v>4016.44</v>
      </c>
      <c r="E170" s="29">
        <f t="shared" si="4"/>
        <v>-7.5275303392050963E-2</v>
      </c>
      <c r="F170" s="29">
        <f t="shared" si="5"/>
        <v>1.6827585946139311E-3</v>
      </c>
      <c r="G170" s="29">
        <f>F170+'Without VBA'!$F$12*_xlfn.STDEV.P($E$7:$E$374)</f>
        <v>0.16157057372050279</v>
      </c>
      <c r="H170" s="26">
        <f>F170-'Without VBA'!$F$12*_xlfn.STDEV.P($E$7:$E$374)</f>
        <v>-0.15820505653127495</v>
      </c>
    </row>
    <row r="171" spans="2:8" x14ac:dyDescent="0.25">
      <c r="B171" s="25">
        <v>37592</v>
      </c>
      <c r="C171" s="7">
        <v>4573.99</v>
      </c>
      <c r="D171" s="7">
        <v>4319.3500000000004</v>
      </c>
      <c r="E171" s="29">
        <f t="shared" si="4"/>
        <v>-5.5671306670980789E-2</v>
      </c>
      <c r="F171" s="29">
        <f t="shared" si="5"/>
        <v>1.6827585946139311E-3</v>
      </c>
      <c r="G171" s="29">
        <f>F171+'Without VBA'!$F$12*_xlfn.STDEV.P($E$7:$E$374)</f>
        <v>0.16157057372050279</v>
      </c>
      <c r="H171" s="26">
        <f>F171-'Without VBA'!$F$12*_xlfn.STDEV.P($E$7:$E$374)</f>
        <v>-0.15820505653127495</v>
      </c>
    </row>
    <row r="172" spans="2:8" x14ac:dyDescent="0.25">
      <c r="B172" s="25">
        <v>37561</v>
      </c>
      <c r="C172" s="7">
        <v>4413.66</v>
      </c>
      <c r="D172" s="7">
        <v>4558.22</v>
      </c>
      <c r="E172" s="29">
        <f t="shared" si="4"/>
        <v>3.2752862703515996E-2</v>
      </c>
      <c r="F172" s="29">
        <f t="shared" si="5"/>
        <v>1.6827585946139311E-3</v>
      </c>
      <c r="G172" s="29">
        <f>F172+'Without VBA'!$F$12*_xlfn.STDEV.P($E$7:$E$374)</f>
        <v>0.16157057372050279</v>
      </c>
      <c r="H172" s="26">
        <f>F172-'Without VBA'!$F$12*_xlfn.STDEV.P($E$7:$E$374)</f>
        <v>-0.15820505653127495</v>
      </c>
    </row>
    <row r="173" spans="2:8" x14ac:dyDescent="0.25">
      <c r="B173" s="25">
        <v>37530</v>
      </c>
      <c r="C173" s="7">
        <v>4268.58</v>
      </c>
      <c r="D173" s="7">
        <v>4417.71</v>
      </c>
      <c r="E173" s="29">
        <f t="shared" si="4"/>
        <v>3.4936676833982286E-2</v>
      </c>
      <c r="F173" s="29">
        <f t="shared" si="5"/>
        <v>1.6827585946139311E-3</v>
      </c>
      <c r="G173" s="29">
        <f>F173+'Without VBA'!$F$12*_xlfn.STDEV.P($E$7:$E$374)</f>
        <v>0.16157057372050279</v>
      </c>
      <c r="H173" s="26">
        <f>F173-'Without VBA'!$F$12*_xlfn.STDEV.P($E$7:$E$374)</f>
        <v>-0.15820505653127495</v>
      </c>
    </row>
    <row r="174" spans="2:8" x14ac:dyDescent="0.25">
      <c r="B174" s="25">
        <v>37501</v>
      </c>
      <c r="C174" s="7">
        <v>4851.74</v>
      </c>
      <c r="D174" s="7">
        <v>4287.09</v>
      </c>
      <c r="E174" s="29">
        <f t="shared" si="4"/>
        <v>-0.11638092725496413</v>
      </c>
      <c r="F174" s="29">
        <f t="shared" si="5"/>
        <v>1.6827585946139311E-3</v>
      </c>
      <c r="G174" s="29">
        <f>F174+'Without VBA'!$F$12*_xlfn.STDEV.P($E$7:$E$374)</f>
        <v>0.16157057372050279</v>
      </c>
      <c r="H174" s="26">
        <f>F174-'Without VBA'!$F$12*_xlfn.STDEV.P($E$7:$E$374)</f>
        <v>-0.15820505653127495</v>
      </c>
    </row>
    <row r="175" spans="2:8" x14ac:dyDescent="0.25">
      <c r="B175" s="25">
        <v>37469</v>
      </c>
      <c r="C175" s="7">
        <v>4727.62</v>
      </c>
      <c r="D175" s="7">
        <v>4858.82</v>
      </c>
      <c r="E175" s="29">
        <f t="shared" si="4"/>
        <v>2.7751807463374769E-2</v>
      </c>
      <c r="F175" s="29">
        <f t="shared" si="5"/>
        <v>1.6827585946139311E-3</v>
      </c>
      <c r="G175" s="29">
        <f>F175+'Without VBA'!$F$12*_xlfn.STDEV.P($E$7:$E$374)</f>
        <v>0.16157057372050279</v>
      </c>
      <c r="H175" s="26">
        <f>F175-'Without VBA'!$F$12*_xlfn.STDEV.P($E$7:$E$374)</f>
        <v>-0.15820505653127495</v>
      </c>
    </row>
    <row r="176" spans="2:8" x14ac:dyDescent="0.25">
      <c r="B176" s="25">
        <v>37438</v>
      </c>
      <c r="C176" s="7">
        <v>5498.04</v>
      </c>
      <c r="D176" s="7">
        <v>4783.63</v>
      </c>
      <c r="E176" s="29">
        <f t="shared" si="4"/>
        <v>-0.12993903281896818</v>
      </c>
      <c r="F176" s="29">
        <f t="shared" si="5"/>
        <v>1.6827585946139311E-3</v>
      </c>
      <c r="G176" s="29">
        <f>F176+'Without VBA'!$F$12*_xlfn.STDEV.P($E$7:$E$374)</f>
        <v>0.16157057372050279</v>
      </c>
      <c r="H176" s="26">
        <f>F176-'Without VBA'!$F$12*_xlfn.STDEV.P($E$7:$E$374)</f>
        <v>-0.15820505653127495</v>
      </c>
    </row>
    <row r="177" spans="2:8" x14ac:dyDescent="0.25">
      <c r="B177" s="25">
        <v>37412</v>
      </c>
      <c r="C177" s="7">
        <v>6002.5</v>
      </c>
      <c r="D177" s="7">
        <v>5496.64</v>
      </c>
      <c r="E177" s="29">
        <f t="shared" si="4"/>
        <v>-8.4274885464389784E-2</v>
      </c>
      <c r="F177" s="29">
        <f t="shared" si="5"/>
        <v>1.6827585946139311E-3</v>
      </c>
      <c r="G177" s="29">
        <f>F177+'Without VBA'!$F$12*_xlfn.STDEV.P($E$7:$E$374)</f>
        <v>0.16157057372050279</v>
      </c>
      <c r="H177" s="26">
        <f>F177-'Without VBA'!$F$12*_xlfn.STDEV.P($E$7:$E$374)</f>
        <v>-0.15820505653127495</v>
      </c>
    </row>
    <row r="178" spans="2:8" x14ac:dyDescent="0.25">
      <c r="B178" s="25">
        <v>37377</v>
      </c>
      <c r="C178" s="7">
        <v>6116.19</v>
      </c>
      <c r="D178" s="7">
        <v>6049.05</v>
      </c>
      <c r="E178" s="29">
        <f t="shared" si="4"/>
        <v>-1.0977422218734118E-2</v>
      </c>
      <c r="F178" s="29">
        <f t="shared" si="5"/>
        <v>1.6827585946139311E-3</v>
      </c>
      <c r="G178" s="29">
        <f>F178+'Without VBA'!$F$12*_xlfn.STDEV.P($E$7:$E$374)</f>
        <v>0.16157057372050279</v>
      </c>
      <c r="H178" s="26">
        <f>F178-'Without VBA'!$F$12*_xlfn.STDEV.P($E$7:$E$374)</f>
        <v>-0.15820505653127495</v>
      </c>
    </row>
    <row r="179" spans="2:8" x14ac:dyDescent="0.25">
      <c r="B179" s="25">
        <v>37348</v>
      </c>
      <c r="C179" s="7">
        <v>6198.13</v>
      </c>
      <c r="D179" s="7">
        <v>6123.71</v>
      </c>
      <c r="E179" s="29">
        <f t="shared" si="4"/>
        <v>-1.2006847226502198E-2</v>
      </c>
      <c r="F179" s="29">
        <f t="shared" si="5"/>
        <v>1.6827585946139311E-3</v>
      </c>
      <c r="G179" s="29">
        <f>F179+'Without VBA'!$F$12*_xlfn.STDEV.P($E$7:$E$374)</f>
        <v>0.16157057372050279</v>
      </c>
      <c r="H179" s="26">
        <f>F179-'Without VBA'!$F$12*_xlfn.STDEV.P($E$7:$E$374)</f>
        <v>-0.15820505653127495</v>
      </c>
    </row>
    <row r="180" spans="2:8" x14ac:dyDescent="0.25">
      <c r="B180" s="25">
        <v>37316</v>
      </c>
      <c r="C180" s="7">
        <v>5870.35</v>
      </c>
      <c r="D180" s="7">
        <v>6175.45</v>
      </c>
      <c r="E180" s="29">
        <f t="shared" si="4"/>
        <v>5.197305101058701E-2</v>
      </c>
      <c r="F180" s="29">
        <f t="shared" si="5"/>
        <v>1.6827585946139311E-3</v>
      </c>
      <c r="G180" s="29">
        <f>F180+'Without VBA'!$F$12*_xlfn.STDEV.P($E$7:$E$374)</f>
        <v>0.16157057372050279</v>
      </c>
      <c r="H180" s="26">
        <f>F180-'Without VBA'!$F$12*_xlfn.STDEV.P($E$7:$E$374)</f>
        <v>-0.15820505653127495</v>
      </c>
    </row>
    <row r="181" spans="2:8" x14ac:dyDescent="0.25">
      <c r="B181" s="25">
        <v>37288</v>
      </c>
      <c r="C181" s="7">
        <v>5854.82</v>
      </c>
      <c r="D181" s="7">
        <v>5834</v>
      </c>
      <c r="E181" s="29">
        <f t="shared" si="4"/>
        <v>-3.5560444215193142E-3</v>
      </c>
      <c r="F181" s="29">
        <f t="shared" si="5"/>
        <v>1.6827585946139311E-3</v>
      </c>
      <c r="G181" s="29">
        <f>F181+'Without VBA'!$F$12*_xlfn.STDEV.P($E$7:$E$374)</f>
        <v>0.16157057372050279</v>
      </c>
      <c r="H181" s="26">
        <f>F181-'Without VBA'!$F$12*_xlfn.STDEV.P($E$7:$E$374)</f>
        <v>-0.15820505653127495</v>
      </c>
    </row>
    <row r="182" spans="2:8" x14ac:dyDescent="0.25">
      <c r="B182" s="25">
        <v>37258</v>
      </c>
      <c r="C182" s="7">
        <v>5961.58</v>
      </c>
      <c r="D182" s="7">
        <v>5849.2</v>
      </c>
      <c r="E182" s="29">
        <f t="shared" si="4"/>
        <v>-1.8850707362813232E-2</v>
      </c>
      <c r="F182" s="29">
        <f t="shared" si="5"/>
        <v>1.6827585946139311E-3</v>
      </c>
      <c r="G182" s="29">
        <f>F182+'Without VBA'!$F$12*_xlfn.STDEV.P($E$7:$E$374)</f>
        <v>0.16157057372050279</v>
      </c>
      <c r="H182" s="26">
        <f>F182-'Without VBA'!$F$12*_xlfn.STDEV.P($E$7:$E$374)</f>
        <v>-0.15820505653127495</v>
      </c>
    </row>
    <row r="183" spans="2:8" x14ac:dyDescent="0.25">
      <c r="B183" s="25">
        <v>37228</v>
      </c>
      <c r="C183" s="7">
        <v>5824.65</v>
      </c>
      <c r="D183" s="7">
        <v>5939.14</v>
      </c>
      <c r="E183" s="29">
        <f t="shared" si="4"/>
        <v>1.9656116676538625E-2</v>
      </c>
      <c r="F183" s="29">
        <f t="shared" si="5"/>
        <v>1.6827585946139311E-3</v>
      </c>
      <c r="G183" s="29">
        <f>F183+'Without VBA'!$F$12*_xlfn.STDEV.P($E$7:$E$374)</f>
        <v>0.16157057372050279</v>
      </c>
      <c r="H183" s="26">
        <f>F183-'Without VBA'!$F$12*_xlfn.STDEV.P($E$7:$E$374)</f>
        <v>-0.15820505653127495</v>
      </c>
    </row>
    <row r="184" spans="2:8" x14ac:dyDescent="0.25">
      <c r="B184" s="25">
        <v>37196</v>
      </c>
      <c r="C184" s="7">
        <v>5341.73</v>
      </c>
      <c r="D184" s="7">
        <v>5849.47</v>
      </c>
      <c r="E184" s="29">
        <f t="shared" si="4"/>
        <v>9.5051603132318696E-2</v>
      </c>
      <c r="F184" s="29">
        <f t="shared" si="5"/>
        <v>1.6827585946139311E-3</v>
      </c>
      <c r="G184" s="29">
        <f>F184+'Without VBA'!$F$12*_xlfn.STDEV.P($E$7:$E$374)</f>
        <v>0.16157057372050279</v>
      </c>
      <c r="H184" s="26">
        <f>F184-'Without VBA'!$F$12*_xlfn.STDEV.P($E$7:$E$374)</f>
        <v>-0.15820505653127495</v>
      </c>
    </row>
    <row r="185" spans="2:8" x14ac:dyDescent="0.25">
      <c r="B185" s="25">
        <v>37165</v>
      </c>
      <c r="C185" s="7">
        <v>5065.92</v>
      </c>
      <c r="D185" s="7">
        <v>5364.77</v>
      </c>
      <c r="E185" s="29">
        <f t="shared" si="4"/>
        <v>5.8992246225759659E-2</v>
      </c>
      <c r="F185" s="29">
        <f t="shared" si="5"/>
        <v>1.6827585946139311E-3</v>
      </c>
      <c r="G185" s="29">
        <f>F185+'Without VBA'!$F$12*_xlfn.STDEV.P($E$7:$E$374)</f>
        <v>0.16157057372050279</v>
      </c>
      <c r="H185" s="26">
        <f>F185-'Without VBA'!$F$12*_xlfn.STDEV.P($E$7:$E$374)</f>
        <v>-0.15820505653127495</v>
      </c>
    </row>
    <row r="186" spans="2:8" x14ac:dyDescent="0.25">
      <c r="B186" s="25">
        <v>37137</v>
      </c>
      <c r="C186" s="7">
        <v>6082.69</v>
      </c>
      <c r="D186" s="7">
        <v>5118.58</v>
      </c>
      <c r="E186" s="29">
        <f t="shared" si="4"/>
        <v>-0.1585005975974445</v>
      </c>
      <c r="F186" s="29">
        <f t="shared" si="5"/>
        <v>1.6827585946139311E-3</v>
      </c>
      <c r="G186" s="29">
        <f>F186+'Without VBA'!$F$12*_xlfn.STDEV.P($E$7:$E$374)</f>
        <v>0.16157057372050279</v>
      </c>
      <c r="H186" s="26">
        <f>F186-'Without VBA'!$F$12*_xlfn.STDEV.P($E$7:$E$374)</f>
        <v>-0.15820505653127495</v>
      </c>
    </row>
    <row r="187" spans="2:8" x14ac:dyDescent="0.25">
      <c r="B187" s="25">
        <v>37104</v>
      </c>
      <c r="C187" s="7">
        <v>6140.48</v>
      </c>
      <c r="D187" s="7">
        <v>6116.3</v>
      </c>
      <c r="E187" s="29">
        <f t="shared" si="4"/>
        <v>-3.9378029079158933E-3</v>
      </c>
      <c r="F187" s="29">
        <f t="shared" si="5"/>
        <v>1.6827585946139311E-3</v>
      </c>
      <c r="G187" s="29">
        <f>F187+'Without VBA'!$F$12*_xlfn.STDEV.P($E$7:$E$374)</f>
        <v>0.16157057372050279</v>
      </c>
      <c r="H187" s="26">
        <f>F187-'Without VBA'!$F$12*_xlfn.STDEV.P($E$7:$E$374)</f>
        <v>-0.15820505653127495</v>
      </c>
    </row>
    <row r="188" spans="2:8" x14ac:dyDescent="0.25">
      <c r="B188" s="25">
        <v>37074</v>
      </c>
      <c r="C188" s="7">
        <v>6289.09</v>
      </c>
      <c r="D188" s="7">
        <v>6082.22</v>
      </c>
      <c r="E188" s="29">
        <f t="shared" si="4"/>
        <v>-3.2893471074511557E-2</v>
      </c>
      <c r="F188" s="29">
        <f t="shared" si="5"/>
        <v>1.6827585946139311E-3</v>
      </c>
      <c r="G188" s="29">
        <f>F188+'Without VBA'!$F$12*_xlfn.STDEV.P($E$7:$E$374)</f>
        <v>0.16157057372050279</v>
      </c>
      <c r="H188" s="26">
        <f>F188-'Without VBA'!$F$12*_xlfn.STDEV.P($E$7:$E$374)</f>
        <v>-0.15820505653127495</v>
      </c>
    </row>
    <row r="189" spans="2:8" x14ac:dyDescent="0.25">
      <c r="B189" s="25">
        <v>37043</v>
      </c>
      <c r="C189" s="7">
        <v>6599.52</v>
      </c>
      <c r="D189" s="7">
        <v>6298.94</v>
      </c>
      <c r="E189" s="29">
        <f t="shared" si="4"/>
        <v>-4.5545736659635974E-2</v>
      </c>
      <c r="F189" s="29">
        <f t="shared" si="5"/>
        <v>1.6827585946139311E-3</v>
      </c>
      <c r="G189" s="29">
        <f>F189+'Without VBA'!$F$12*_xlfn.STDEV.P($E$7:$E$374)</f>
        <v>0.16157057372050279</v>
      </c>
      <c r="H189" s="26">
        <f>F189-'Without VBA'!$F$12*_xlfn.STDEV.P($E$7:$E$374)</f>
        <v>-0.15820505653127495</v>
      </c>
    </row>
    <row r="190" spans="2:8" x14ac:dyDescent="0.25">
      <c r="B190" s="25">
        <v>37012</v>
      </c>
      <c r="C190" s="7">
        <v>6405.59</v>
      </c>
      <c r="D190" s="7">
        <v>6571.12</v>
      </c>
      <c r="E190" s="29">
        <f t="shared" si="4"/>
        <v>2.5841491572204861E-2</v>
      </c>
      <c r="F190" s="29">
        <f t="shared" si="5"/>
        <v>1.6827585946139311E-3</v>
      </c>
      <c r="G190" s="29">
        <f>F190+'Without VBA'!$F$12*_xlfn.STDEV.P($E$7:$E$374)</f>
        <v>0.16157057372050279</v>
      </c>
      <c r="H190" s="26">
        <f>F190-'Without VBA'!$F$12*_xlfn.STDEV.P($E$7:$E$374)</f>
        <v>-0.15820505653127495</v>
      </c>
    </row>
    <row r="191" spans="2:8" x14ac:dyDescent="0.25">
      <c r="B191" s="25">
        <v>36983</v>
      </c>
      <c r="C191" s="7">
        <v>6106.92</v>
      </c>
      <c r="D191" s="7">
        <v>6409.15</v>
      </c>
      <c r="E191" s="29">
        <f t="shared" si="4"/>
        <v>4.9489759158462786E-2</v>
      </c>
      <c r="F191" s="29">
        <f t="shared" si="5"/>
        <v>1.6827585946139311E-3</v>
      </c>
      <c r="G191" s="29">
        <f>F191+'Without VBA'!$F$12*_xlfn.STDEV.P($E$7:$E$374)</f>
        <v>0.16157057372050279</v>
      </c>
      <c r="H191" s="26">
        <f>F191-'Without VBA'!$F$12*_xlfn.STDEV.P($E$7:$E$374)</f>
        <v>-0.15820505653127495</v>
      </c>
    </row>
    <row r="192" spans="2:8" x14ac:dyDescent="0.25">
      <c r="B192" s="25">
        <v>36951</v>
      </c>
      <c r="C192" s="7">
        <v>6606.08</v>
      </c>
      <c r="D192" s="7">
        <v>6094.66</v>
      </c>
      <c r="E192" s="29">
        <f t="shared" si="4"/>
        <v>-7.741656171284636E-2</v>
      </c>
      <c r="F192" s="29">
        <f t="shared" si="5"/>
        <v>1.6827585946139311E-3</v>
      </c>
      <c r="G192" s="29">
        <f>F192+'Without VBA'!$F$12*_xlfn.STDEV.P($E$7:$E$374)</f>
        <v>0.16157057372050279</v>
      </c>
      <c r="H192" s="26">
        <f>F192-'Without VBA'!$F$12*_xlfn.STDEV.P($E$7:$E$374)</f>
        <v>-0.15820505653127495</v>
      </c>
    </row>
    <row r="193" spans="2:8" x14ac:dyDescent="0.25">
      <c r="B193" s="25">
        <v>36923</v>
      </c>
      <c r="C193" s="7">
        <v>6742.34</v>
      </c>
      <c r="D193" s="7">
        <v>6649.49</v>
      </c>
      <c r="E193" s="29">
        <f t="shared" si="4"/>
        <v>-1.3771183298380141E-2</v>
      </c>
      <c r="F193" s="29">
        <f t="shared" si="5"/>
        <v>1.6827585946139311E-3</v>
      </c>
      <c r="G193" s="29">
        <f>F193+'Without VBA'!$F$12*_xlfn.STDEV.P($E$7:$E$374)</f>
        <v>0.16157057372050279</v>
      </c>
      <c r="H193" s="26">
        <f>F193-'Without VBA'!$F$12*_xlfn.STDEV.P($E$7:$E$374)</f>
        <v>-0.15820505653127495</v>
      </c>
    </row>
    <row r="194" spans="2:8" x14ac:dyDescent="0.25">
      <c r="B194" s="25">
        <v>36893</v>
      </c>
      <c r="C194" s="7">
        <v>6531.14</v>
      </c>
      <c r="D194" s="7">
        <v>6735.9</v>
      </c>
      <c r="E194" s="29">
        <f t="shared" si="4"/>
        <v>3.1351341419721408E-2</v>
      </c>
      <c r="F194" s="29">
        <f t="shared" si="5"/>
        <v>1.6827585946139311E-3</v>
      </c>
      <c r="G194" s="29">
        <f>F194+'Without VBA'!$F$12*_xlfn.STDEV.P($E$7:$E$374)</f>
        <v>0.16157057372050279</v>
      </c>
      <c r="H194" s="26">
        <f>F194-'Without VBA'!$F$12*_xlfn.STDEV.P($E$7:$E$374)</f>
        <v>-0.15820505653127495</v>
      </c>
    </row>
    <row r="195" spans="2:8" x14ac:dyDescent="0.25">
      <c r="B195" s="25">
        <v>36861</v>
      </c>
      <c r="C195" s="7">
        <v>6463.05</v>
      </c>
      <c r="D195" s="7">
        <v>6547.51</v>
      </c>
      <c r="E195" s="29">
        <f t="shared" si="4"/>
        <v>1.3068133466397449E-2</v>
      </c>
      <c r="F195" s="29">
        <f t="shared" si="5"/>
        <v>1.6827585946139311E-3</v>
      </c>
      <c r="G195" s="29">
        <f>F195+'Without VBA'!$F$12*_xlfn.STDEV.P($E$7:$E$374)</f>
        <v>0.16157057372050279</v>
      </c>
      <c r="H195" s="26">
        <f>F195-'Without VBA'!$F$12*_xlfn.STDEV.P($E$7:$E$374)</f>
        <v>-0.15820505653127495</v>
      </c>
    </row>
    <row r="196" spans="2:8" x14ac:dyDescent="0.25">
      <c r="B196" s="25">
        <v>36831</v>
      </c>
      <c r="C196" s="7">
        <v>6683.07</v>
      </c>
      <c r="D196" s="7">
        <v>6419.91</v>
      </c>
      <c r="E196" s="29">
        <f t="shared" si="4"/>
        <v>-3.9377112614412221E-2</v>
      </c>
      <c r="F196" s="29">
        <f t="shared" si="5"/>
        <v>1.6827585946139311E-3</v>
      </c>
      <c r="G196" s="29">
        <f>F196+'Without VBA'!$F$12*_xlfn.STDEV.P($E$7:$E$374)</f>
        <v>0.16157057372050279</v>
      </c>
      <c r="H196" s="26">
        <f>F196-'Without VBA'!$F$12*_xlfn.STDEV.P($E$7:$E$374)</f>
        <v>-0.15820505653127495</v>
      </c>
    </row>
    <row r="197" spans="2:8" x14ac:dyDescent="0.25">
      <c r="B197" s="25">
        <v>36801</v>
      </c>
      <c r="C197" s="7">
        <v>6697.6</v>
      </c>
      <c r="D197" s="7">
        <v>6629.32</v>
      </c>
      <c r="E197" s="29">
        <f t="shared" si="4"/>
        <v>-1.0194696607740182E-2</v>
      </c>
      <c r="F197" s="29">
        <f t="shared" si="5"/>
        <v>1.6827585946139311E-3</v>
      </c>
      <c r="G197" s="29">
        <f>F197+'Without VBA'!$F$12*_xlfn.STDEV.P($E$7:$E$374)</f>
        <v>0.16157057372050279</v>
      </c>
      <c r="H197" s="26">
        <f>F197-'Without VBA'!$F$12*_xlfn.STDEV.P($E$7:$E$374)</f>
        <v>-0.15820505653127495</v>
      </c>
    </row>
    <row r="198" spans="2:8" x14ac:dyDescent="0.25">
      <c r="B198" s="25">
        <v>36770</v>
      </c>
      <c r="C198" s="7">
        <v>7108.92</v>
      </c>
      <c r="D198" s="7">
        <v>6676.9</v>
      </c>
      <c r="E198" s="29">
        <f t="shared" si="4"/>
        <v>-6.0771537730063135E-2</v>
      </c>
      <c r="F198" s="29">
        <f t="shared" si="5"/>
        <v>1.6827585946139311E-3</v>
      </c>
      <c r="G198" s="29">
        <f>F198+'Without VBA'!$F$12*_xlfn.STDEV.P($E$7:$E$374)</f>
        <v>0.16157057372050279</v>
      </c>
      <c r="H198" s="26">
        <f>F198-'Without VBA'!$F$12*_xlfn.STDEV.P($E$7:$E$374)</f>
        <v>-0.15820505653127495</v>
      </c>
    </row>
    <row r="199" spans="2:8" x14ac:dyDescent="0.25">
      <c r="B199" s="25">
        <v>36739</v>
      </c>
      <c r="C199" s="7">
        <v>6751.47</v>
      </c>
      <c r="D199" s="7">
        <v>7057.79</v>
      </c>
      <c r="E199" s="29">
        <f t="shared" ref="E199:E262" si="6">(D199-C199)/C199</f>
        <v>4.5370859975679328E-2</v>
      </c>
      <c r="F199" s="29">
        <f t="shared" ref="F199:F262" si="7">AVERAGE($E$7:$E$374)</f>
        <v>1.6827585946139311E-3</v>
      </c>
      <c r="G199" s="29">
        <f>F199+'Without VBA'!$F$12*_xlfn.STDEV.P($E$7:$E$374)</f>
        <v>0.16157057372050279</v>
      </c>
      <c r="H199" s="26">
        <f>F199-'Without VBA'!$F$12*_xlfn.STDEV.P($E$7:$E$374)</f>
        <v>-0.15820505653127495</v>
      </c>
    </row>
    <row r="200" spans="2:8" x14ac:dyDescent="0.25">
      <c r="B200" s="25">
        <v>36710</v>
      </c>
      <c r="C200" s="7">
        <v>6614.67</v>
      </c>
      <c r="D200" s="7">
        <v>6779.13</v>
      </c>
      <c r="E200" s="29">
        <f t="shared" si="6"/>
        <v>2.4862918331526748E-2</v>
      </c>
      <c r="F200" s="29">
        <f t="shared" si="7"/>
        <v>1.6827585946139311E-3</v>
      </c>
      <c r="G200" s="29">
        <f>F200+'Without VBA'!$F$12*_xlfn.STDEV.P($E$7:$E$374)</f>
        <v>0.16157057372050279</v>
      </c>
      <c r="H200" s="26">
        <f>F200-'Without VBA'!$F$12*_xlfn.STDEV.P($E$7:$E$374)</f>
        <v>-0.15820505653127495</v>
      </c>
    </row>
    <row r="201" spans="2:8" x14ac:dyDescent="0.25">
      <c r="B201" s="25">
        <v>36678</v>
      </c>
      <c r="C201" s="7">
        <v>6307.65</v>
      </c>
      <c r="D201" s="7">
        <v>6601.01</v>
      </c>
      <c r="E201" s="29">
        <f t="shared" si="6"/>
        <v>4.6508604630884812E-2</v>
      </c>
      <c r="F201" s="29">
        <f t="shared" si="7"/>
        <v>1.6827585946139311E-3</v>
      </c>
      <c r="G201" s="29">
        <f>F201+'Without VBA'!$F$12*_xlfn.STDEV.P($E$7:$E$374)</f>
        <v>0.16157057372050279</v>
      </c>
      <c r="H201" s="26">
        <f>F201-'Without VBA'!$F$12*_xlfn.STDEV.P($E$7:$E$374)</f>
        <v>-0.15820505653127495</v>
      </c>
    </row>
    <row r="202" spans="2:8" x14ac:dyDescent="0.25">
      <c r="B202" s="25">
        <v>36648</v>
      </c>
      <c r="C202" s="7">
        <v>6283.19</v>
      </c>
      <c r="D202" s="7">
        <v>6227.82</v>
      </c>
      <c r="E202" s="29">
        <f t="shared" si="6"/>
        <v>-8.8124026171419127E-3</v>
      </c>
      <c r="F202" s="29">
        <f t="shared" si="7"/>
        <v>1.6827585946139311E-3</v>
      </c>
      <c r="G202" s="29">
        <f>F202+'Without VBA'!$F$12*_xlfn.STDEV.P($E$7:$E$374)</f>
        <v>0.16157057372050279</v>
      </c>
      <c r="H202" s="26">
        <f>F202-'Without VBA'!$F$12*_xlfn.STDEV.P($E$7:$E$374)</f>
        <v>-0.15820505653127495</v>
      </c>
    </row>
    <row r="203" spans="2:8" x14ac:dyDescent="0.25">
      <c r="B203" s="25">
        <v>36619</v>
      </c>
      <c r="C203" s="7">
        <v>6367.12</v>
      </c>
      <c r="D203" s="7">
        <v>6194.64</v>
      </c>
      <c r="E203" s="29">
        <f t="shared" si="6"/>
        <v>-2.708917061402951E-2</v>
      </c>
      <c r="F203" s="29">
        <f t="shared" si="7"/>
        <v>1.6827585946139311E-3</v>
      </c>
      <c r="G203" s="29">
        <f>F203+'Without VBA'!$F$12*_xlfn.STDEV.P($E$7:$E$374)</f>
        <v>0.16157057372050279</v>
      </c>
      <c r="H203" s="26">
        <f>F203-'Without VBA'!$F$12*_xlfn.STDEV.P($E$7:$E$374)</f>
        <v>-0.15820505653127495</v>
      </c>
    </row>
    <row r="204" spans="2:8" x14ac:dyDescent="0.25">
      <c r="B204" s="25">
        <v>36586</v>
      </c>
      <c r="C204" s="7">
        <v>6616.63</v>
      </c>
      <c r="D204" s="7">
        <v>6475.14</v>
      </c>
      <c r="E204" s="29">
        <f t="shared" si="6"/>
        <v>-2.1383997593941294E-2</v>
      </c>
      <c r="F204" s="29">
        <f t="shared" si="7"/>
        <v>1.6827585946139311E-3</v>
      </c>
      <c r="G204" s="29">
        <f>F204+'Without VBA'!$F$12*_xlfn.STDEV.P($E$7:$E$374)</f>
        <v>0.16157057372050279</v>
      </c>
      <c r="H204" s="26">
        <f>F204-'Without VBA'!$F$12*_xlfn.STDEV.P($E$7:$E$374)</f>
        <v>-0.15820505653127495</v>
      </c>
    </row>
    <row r="205" spans="2:8" x14ac:dyDescent="0.25">
      <c r="B205" s="25">
        <v>36557</v>
      </c>
      <c r="C205" s="7">
        <v>6164.05</v>
      </c>
      <c r="D205" s="7">
        <v>6451.19</v>
      </c>
      <c r="E205" s="29">
        <f t="shared" si="6"/>
        <v>4.6583009547294295E-2</v>
      </c>
      <c r="F205" s="29">
        <f t="shared" si="7"/>
        <v>1.6827585946139311E-3</v>
      </c>
      <c r="G205" s="29">
        <f>F205+'Without VBA'!$F$12*_xlfn.STDEV.P($E$7:$E$374)</f>
        <v>0.16157057372050279</v>
      </c>
      <c r="H205" s="26">
        <f>F205-'Without VBA'!$F$12*_xlfn.STDEV.P($E$7:$E$374)</f>
        <v>-0.15820505653127495</v>
      </c>
    </row>
    <row r="206" spans="2:8" x14ac:dyDescent="0.25">
      <c r="B206" s="25">
        <v>36529</v>
      </c>
      <c r="C206" s="7">
        <v>6432.07</v>
      </c>
      <c r="D206" s="7">
        <v>6181.02</v>
      </c>
      <c r="E206" s="29">
        <f t="shared" si="6"/>
        <v>-3.9030980695172669E-2</v>
      </c>
      <c r="F206" s="29">
        <f t="shared" si="7"/>
        <v>1.6827585946139311E-3</v>
      </c>
      <c r="G206" s="29">
        <f>F206+'Without VBA'!$F$12*_xlfn.STDEV.P($E$7:$E$374)</f>
        <v>0.16157057372050279</v>
      </c>
      <c r="H206" s="26">
        <f>F206-'Without VBA'!$F$12*_xlfn.STDEV.P($E$7:$E$374)</f>
        <v>-0.15820505653127495</v>
      </c>
    </row>
    <row r="207" spans="2:8" x14ac:dyDescent="0.25">
      <c r="B207" s="25">
        <v>36495</v>
      </c>
      <c r="C207" s="7">
        <v>6199.98</v>
      </c>
      <c r="D207" s="7">
        <v>6444.87</v>
      </c>
      <c r="E207" s="29">
        <f t="shared" si="6"/>
        <v>3.9498514511337186E-2</v>
      </c>
      <c r="F207" s="29">
        <f t="shared" si="7"/>
        <v>1.6827585946139311E-3</v>
      </c>
      <c r="G207" s="29">
        <f>F207+'Without VBA'!$F$12*_xlfn.STDEV.P($E$7:$E$374)</f>
        <v>0.16157057372050279</v>
      </c>
      <c r="H207" s="26">
        <f>F207-'Without VBA'!$F$12*_xlfn.STDEV.P($E$7:$E$374)</f>
        <v>-0.15820505653127495</v>
      </c>
    </row>
    <row r="208" spans="2:8" x14ac:dyDescent="0.25">
      <c r="B208" s="25">
        <v>36465</v>
      </c>
      <c r="C208" s="7">
        <v>5643.9</v>
      </c>
      <c r="D208" s="7">
        <v>6194.76</v>
      </c>
      <c r="E208" s="29">
        <f t="shared" si="6"/>
        <v>9.7602721522351679E-2</v>
      </c>
      <c r="F208" s="29">
        <f t="shared" si="7"/>
        <v>1.6827585946139311E-3</v>
      </c>
      <c r="G208" s="29">
        <f>F208+'Without VBA'!$F$12*_xlfn.STDEV.P($E$7:$E$374)</f>
        <v>0.16157057372050279</v>
      </c>
      <c r="H208" s="26">
        <f>F208-'Without VBA'!$F$12*_xlfn.STDEV.P($E$7:$E$374)</f>
        <v>-0.15820505653127495</v>
      </c>
    </row>
    <row r="209" spans="2:8" x14ac:dyDescent="0.25">
      <c r="B209" s="25">
        <v>36434</v>
      </c>
      <c r="C209" s="7">
        <v>5666.95</v>
      </c>
      <c r="D209" s="7">
        <v>5622.32</v>
      </c>
      <c r="E209" s="29">
        <f t="shared" si="6"/>
        <v>-7.875488578512271E-3</v>
      </c>
      <c r="F209" s="29">
        <f t="shared" si="7"/>
        <v>1.6827585946139311E-3</v>
      </c>
      <c r="G209" s="29">
        <f>F209+'Without VBA'!$F$12*_xlfn.STDEV.P($E$7:$E$374)</f>
        <v>0.16157057372050279</v>
      </c>
      <c r="H209" s="26">
        <f>F209-'Without VBA'!$F$12*_xlfn.STDEV.P($E$7:$E$374)</f>
        <v>-0.15820505653127495</v>
      </c>
    </row>
    <row r="210" spans="2:8" x14ac:dyDescent="0.25">
      <c r="B210" s="25">
        <v>36404</v>
      </c>
      <c r="C210" s="7">
        <v>6065.86</v>
      </c>
      <c r="D210" s="7">
        <v>5687.11</v>
      </c>
      <c r="E210" s="29">
        <f t="shared" si="6"/>
        <v>-6.2439621092474938E-2</v>
      </c>
      <c r="F210" s="29">
        <f t="shared" si="7"/>
        <v>1.6827585946139311E-3</v>
      </c>
      <c r="G210" s="29">
        <f>F210+'Without VBA'!$F$12*_xlfn.STDEV.P($E$7:$E$374)</f>
        <v>0.16157057372050279</v>
      </c>
      <c r="H210" s="26">
        <f>F210-'Without VBA'!$F$12*_xlfn.STDEV.P($E$7:$E$374)</f>
        <v>-0.15820505653127495</v>
      </c>
    </row>
    <row r="211" spans="2:8" x14ac:dyDescent="0.25">
      <c r="B211" s="25">
        <v>36374</v>
      </c>
      <c r="C211" s="7">
        <v>5970.09</v>
      </c>
      <c r="D211" s="7">
        <v>6017.91</v>
      </c>
      <c r="E211" s="29">
        <f t="shared" si="6"/>
        <v>8.0099294985502244E-3</v>
      </c>
      <c r="F211" s="29">
        <f t="shared" si="7"/>
        <v>1.6827585946139311E-3</v>
      </c>
      <c r="G211" s="29">
        <f>F211+'Without VBA'!$F$12*_xlfn.STDEV.P($E$7:$E$374)</f>
        <v>0.16157057372050279</v>
      </c>
      <c r="H211" s="26">
        <f>F211-'Without VBA'!$F$12*_xlfn.STDEV.P($E$7:$E$374)</f>
        <v>-0.15820505653127495</v>
      </c>
    </row>
    <row r="212" spans="2:8" x14ac:dyDescent="0.25">
      <c r="B212" s="25">
        <v>36342</v>
      </c>
      <c r="C212" s="7">
        <v>5897.36</v>
      </c>
      <c r="D212" s="7">
        <v>5969.52</v>
      </c>
      <c r="E212" s="29">
        <f t="shared" si="6"/>
        <v>1.223598355874506E-2</v>
      </c>
      <c r="F212" s="29">
        <f t="shared" si="7"/>
        <v>1.6827585946139311E-3</v>
      </c>
      <c r="G212" s="29">
        <f>F212+'Without VBA'!$F$12*_xlfn.STDEV.P($E$7:$E$374)</f>
        <v>0.16157057372050279</v>
      </c>
      <c r="H212" s="26">
        <f>F212-'Without VBA'!$F$12*_xlfn.STDEV.P($E$7:$E$374)</f>
        <v>-0.15820505653127495</v>
      </c>
    </row>
    <row r="213" spans="2:8" x14ac:dyDescent="0.25">
      <c r="B213" s="25">
        <v>36312</v>
      </c>
      <c r="C213" s="7">
        <v>5667.71</v>
      </c>
      <c r="D213" s="7">
        <v>5858.2</v>
      </c>
      <c r="E213" s="29">
        <f t="shared" si="6"/>
        <v>3.360969421512388E-2</v>
      </c>
      <c r="F213" s="29">
        <f t="shared" si="7"/>
        <v>1.6827585946139311E-3</v>
      </c>
      <c r="G213" s="29">
        <f>F213+'Without VBA'!$F$12*_xlfn.STDEV.P($E$7:$E$374)</f>
        <v>0.16157057372050279</v>
      </c>
      <c r="H213" s="26">
        <f>F213-'Without VBA'!$F$12*_xlfn.STDEV.P($E$7:$E$374)</f>
        <v>-0.15820505653127495</v>
      </c>
    </row>
    <row r="214" spans="2:8" x14ac:dyDescent="0.25">
      <c r="B214" s="25">
        <v>36284</v>
      </c>
      <c r="C214" s="7">
        <v>5887.46</v>
      </c>
      <c r="D214" s="7">
        <v>5639.1</v>
      </c>
      <c r="E214" s="29">
        <f t="shared" si="6"/>
        <v>-4.2184575351679618E-2</v>
      </c>
      <c r="F214" s="29">
        <f t="shared" si="7"/>
        <v>1.6827585946139311E-3</v>
      </c>
      <c r="G214" s="29">
        <f>F214+'Without VBA'!$F$12*_xlfn.STDEV.P($E$7:$E$374)</f>
        <v>0.16157057372050279</v>
      </c>
      <c r="H214" s="26">
        <f>F214-'Without VBA'!$F$12*_xlfn.STDEV.P($E$7:$E$374)</f>
        <v>-0.15820505653127495</v>
      </c>
    </row>
    <row r="215" spans="2:8" x14ac:dyDescent="0.25">
      <c r="B215" s="25">
        <v>36251</v>
      </c>
      <c r="C215" s="7">
        <v>5453.33</v>
      </c>
      <c r="D215" s="7">
        <v>5849.59</v>
      </c>
      <c r="E215" s="29">
        <f t="shared" si="6"/>
        <v>7.2663858596490633E-2</v>
      </c>
      <c r="F215" s="29">
        <f t="shared" si="7"/>
        <v>1.6827585946139311E-3</v>
      </c>
      <c r="G215" s="29">
        <f>F215+'Without VBA'!$F$12*_xlfn.STDEV.P($E$7:$E$374)</f>
        <v>0.16157057372050279</v>
      </c>
      <c r="H215" s="26">
        <f>F215-'Without VBA'!$F$12*_xlfn.STDEV.P($E$7:$E$374)</f>
        <v>-0.15820505653127495</v>
      </c>
    </row>
    <row r="216" spans="2:8" x14ac:dyDescent="0.25">
      <c r="B216" s="25">
        <v>36220</v>
      </c>
      <c r="C216" s="7">
        <v>5258.4</v>
      </c>
      <c r="D216" s="7">
        <v>5475.2</v>
      </c>
      <c r="E216" s="29">
        <f t="shared" si="6"/>
        <v>4.1229271261220182E-2</v>
      </c>
      <c r="F216" s="29">
        <f t="shared" si="7"/>
        <v>1.6827585946139311E-3</v>
      </c>
      <c r="G216" s="29">
        <f>F216+'Without VBA'!$F$12*_xlfn.STDEV.P($E$7:$E$374)</f>
        <v>0.16157057372050279</v>
      </c>
      <c r="H216" s="26">
        <f>F216-'Without VBA'!$F$12*_xlfn.STDEV.P($E$7:$E$374)</f>
        <v>-0.15820505653127495</v>
      </c>
    </row>
    <row r="217" spans="2:8" x14ac:dyDescent="0.25">
      <c r="B217" s="25">
        <v>36192</v>
      </c>
      <c r="C217" s="7">
        <v>5121.8999999999996</v>
      </c>
      <c r="D217" s="7">
        <v>5248.3</v>
      </c>
      <c r="E217" s="29">
        <f t="shared" si="6"/>
        <v>2.4678342021515563E-2</v>
      </c>
      <c r="F217" s="29">
        <f t="shared" si="7"/>
        <v>1.6827585946139311E-3</v>
      </c>
      <c r="G217" s="29">
        <f>F217+'Without VBA'!$F$12*_xlfn.STDEV.P($E$7:$E$374)</f>
        <v>0.16157057372050279</v>
      </c>
      <c r="H217" s="26">
        <f>F217-'Without VBA'!$F$12*_xlfn.STDEV.P($E$7:$E$374)</f>
        <v>-0.15820505653127495</v>
      </c>
    </row>
    <row r="218" spans="2:8" x14ac:dyDescent="0.25">
      <c r="B218" s="25">
        <v>36161</v>
      </c>
      <c r="C218" s="7">
        <v>4854.7</v>
      </c>
      <c r="D218" s="7">
        <v>5024.2</v>
      </c>
      <c r="E218" s="29">
        <f t="shared" si="6"/>
        <v>3.491461882299627E-2</v>
      </c>
      <c r="F218" s="29">
        <f t="shared" si="7"/>
        <v>1.6827585946139311E-3</v>
      </c>
      <c r="G218" s="29">
        <f>F218+'Without VBA'!$F$12*_xlfn.STDEV.P($E$7:$E$374)</f>
        <v>0.16157057372050279</v>
      </c>
      <c r="H218" s="26">
        <f>F218-'Without VBA'!$F$12*_xlfn.STDEV.P($E$7:$E$374)</f>
        <v>-0.15820505653127495</v>
      </c>
    </row>
    <row r="219" spans="2:8" x14ac:dyDescent="0.25">
      <c r="B219" s="25">
        <v>36130</v>
      </c>
      <c r="C219" s="7">
        <v>4821.41</v>
      </c>
      <c r="D219" s="7">
        <v>4854.7</v>
      </c>
      <c r="E219" s="29">
        <f t="shared" si="6"/>
        <v>6.9046191881627916E-3</v>
      </c>
      <c r="F219" s="29">
        <f t="shared" si="7"/>
        <v>1.6827585946139311E-3</v>
      </c>
      <c r="G219" s="29">
        <f>F219+'Without VBA'!$F$12*_xlfn.STDEV.P($E$7:$E$374)</f>
        <v>0.16157057372050279</v>
      </c>
      <c r="H219" s="26">
        <f>F219-'Without VBA'!$F$12*_xlfn.STDEV.P($E$7:$E$374)</f>
        <v>-0.15820505653127495</v>
      </c>
    </row>
    <row r="220" spans="2:8" x14ac:dyDescent="0.25">
      <c r="B220" s="25">
        <v>36101</v>
      </c>
      <c r="C220" s="7">
        <v>4887.76</v>
      </c>
      <c r="D220" s="7">
        <v>4901.66</v>
      </c>
      <c r="E220" s="29">
        <f t="shared" si="6"/>
        <v>2.8438384863413171E-3</v>
      </c>
      <c r="F220" s="29">
        <f t="shared" si="7"/>
        <v>1.6827585946139311E-3</v>
      </c>
      <c r="G220" s="29">
        <f>F220+'Without VBA'!$F$12*_xlfn.STDEV.P($E$7:$E$374)</f>
        <v>0.16157057372050279</v>
      </c>
      <c r="H220" s="26">
        <f>F220-'Without VBA'!$F$12*_xlfn.STDEV.P($E$7:$E$374)</f>
        <v>-0.15820505653127495</v>
      </c>
    </row>
    <row r="221" spans="2:8" x14ac:dyDescent="0.25">
      <c r="B221" s="25">
        <v>36069</v>
      </c>
      <c r="C221" s="7">
        <v>4441.25</v>
      </c>
      <c r="D221" s="7">
        <v>4811.3999999999996</v>
      </c>
      <c r="E221" s="29">
        <f t="shared" si="6"/>
        <v>8.3343653250773905E-2</v>
      </c>
      <c r="F221" s="29">
        <f t="shared" si="7"/>
        <v>1.6827585946139311E-3</v>
      </c>
      <c r="G221" s="29">
        <f>F221+'Without VBA'!$F$12*_xlfn.STDEV.P($E$7:$E$374)</f>
        <v>0.16157057372050279</v>
      </c>
      <c r="H221" s="26">
        <f>F221-'Without VBA'!$F$12*_xlfn.STDEV.P($E$7:$E$374)</f>
        <v>-0.15820505653127495</v>
      </c>
    </row>
    <row r="222" spans="2:8" x14ac:dyDescent="0.25">
      <c r="B222" s="25">
        <v>36039</v>
      </c>
      <c r="C222" s="7">
        <v>4627.29</v>
      </c>
      <c r="D222" s="7">
        <v>4544.16</v>
      </c>
      <c r="E222" s="29">
        <f t="shared" si="6"/>
        <v>-1.7965158872687924E-2</v>
      </c>
      <c r="F222" s="29">
        <f t="shared" si="7"/>
        <v>1.6827585946139311E-3</v>
      </c>
      <c r="G222" s="29">
        <f>F222+'Without VBA'!$F$12*_xlfn.STDEV.P($E$7:$E$374)</f>
        <v>0.16157057372050279</v>
      </c>
      <c r="H222" s="26">
        <f>F222-'Without VBA'!$F$12*_xlfn.STDEV.P($E$7:$E$374)</f>
        <v>-0.15820505653127495</v>
      </c>
    </row>
    <row r="223" spans="2:8" x14ac:dyDescent="0.25">
      <c r="B223" s="25">
        <v>36010</v>
      </c>
      <c r="C223" s="7">
        <v>5447.91</v>
      </c>
      <c r="D223" s="7">
        <v>4786.2</v>
      </c>
      <c r="E223" s="29">
        <f t="shared" si="6"/>
        <v>-0.12146125761989461</v>
      </c>
      <c r="F223" s="29">
        <f t="shared" si="7"/>
        <v>1.6827585946139311E-3</v>
      </c>
      <c r="G223" s="29">
        <f>F223+'Without VBA'!$F$12*_xlfn.STDEV.P($E$7:$E$374)</f>
        <v>0.16157057372050279</v>
      </c>
      <c r="H223" s="26">
        <f>F223-'Without VBA'!$F$12*_xlfn.STDEV.P($E$7:$E$374)</f>
        <v>-0.15820505653127495</v>
      </c>
    </row>
    <row r="224" spans="2:8" x14ac:dyDescent="0.25">
      <c r="B224" s="25">
        <v>35977</v>
      </c>
      <c r="C224" s="7">
        <v>5534.86</v>
      </c>
      <c r="D224" s="7">
        <v>5482.7</v>
      </c>
      <c r="E224" s="29">
        <f t="shared" si="6"/>
        <v>-9.4239059343867518E-3</v>
      </c>
      <c r="F224" s="29">
        <f t="shared" si="7"/>
        <v>1.6827585946139311E-3</v>
      </c>
      <c r="G224" s="29">
        <f>F224+'Without VBA'!$F$12*_xlfn.STDEV.P($E$7:$E$374)</f>
        <v>0.16157057372050279</v>
      </c>
      <c r="H224" s="26">
        <f>F224-'Without VBA'!$F$12*_xlfn.STDEV.P($E$7:$E$374)</f>
        <v>-0.15820505653127495</v>
      </c>
    </row>
    <row r="225" spans="2:8" x14ac:dyDescent="0.25">
      <c r="B225" s="25">
        <v>35947</v>
      </c>
      <c r="C225" s="7">
        <v>5898.93</v>
      </c>
      <c r="D225" s="7">
        <v>5503.85</v>
      </c>
      <c r="E225" s="29">
        <f t="shared" si="6"/>
        <v>-6.6974858152241148E-2</v>
      </c>
      <c r="F225" s="29">
        <f t="shared" si="7"/>
        <v>1.6827585946139311E-3</v>
      </c>
      <c r="G225" s="29">
        <f>F225+'Without VBA'!$F$12*_xlfn.STDEV.P($E$7:$E$374)</f>
        <v>0.16157057372050279</v>
      </c>
      <c r="H225" s="26">
        <f>F225-'Without VBA'!$F$12*_xlfn.STDEV.P($E$7:$E$374)</f>
        <v>-0.15820505653127495</v>
      </c>
    </row>
    <row r="226" spans="2:8" x14ac:dyDescent="0.25">
      <c r="B226" s="25">
        <v>35916</v>
      </c>
      <c r="C226" s="7">
        <v>5652.97</v>
      </c>
      <c r="D226" s="7">
        <v>5901.41</v>
      </c>
      <c r="E226" s="29">
        <f t="shared" si="6"/>
        <v>4.394857924241586E-2</v>
      </c>
      <c r="F226" s="29">
        <f t="shared" si="7"/>
        <v>1.6827585946139311E-3</v>
      </c>
      <c r="G226" s="29">
        <f>F226+'Without VBA'!$F$12*_xlfn.STDEV.P($E$7:$E$374)</f>
        <v>0.16157057372050279</v>
      </c>
      <c r="H226" s="26">
        <f>F226-'Without VBA'!$F$12*_xlfn.STDEV.P($E$7:$E$374)</f>
        <v>-0.15820505653127495</v>
      </c>
    </row>
    <row r="227" spans="2:8" x14ac:dyDescent="0.25">
      <c r="B227" s="25">
        <v>35886</v>
      </c>
      <c r="C227" s="7">
        <v>5534.77</v>
      </c>
      <c r="D227" s="7">
        <v>5610.8</v>
      </c>
      <c r="E227" s="29">
        <f t="shared" si="6"/>
        <v>1.3736794844230156E-2</v>
      </c>
      <c r="F227" s="29">
        <f t="shared" si="7"/>
        <v>1.6827585946139311E-3</v>
      </c>
      <c r="G227" s="29">
        <f>F227+'Without VBA'!$F$12*_xlfn.STDEV.P($E$7:$E$374)</f>
        <v>0.16157057372050279</v>
      </c>
      <c r="H227" s="26">
        <f>F227-'Without VBA'!$F$12*_xlfn.STDEV.P($E$7:$E$374)</f>
        <v>-0.15820505653127495</v>
      </c>
    </row>
    <row r="228" spans="2:8" x14ac:dyDescent="0.25">
      <c r="B228" s="25">
        <v>35856</v>
      </c>
      <c r="C228" s="7">
        <v>5254.57</v>
      </c>
      <c r="D228" s="7">
        <v>5525.43</v>
      </c>
      <c r="E228" s="29">
        <f t="shared" si="6"/>
        <v>5.1547510072184895E-2</v>
      </c>
      <c r="F228" s="29">
        <f t="shared" si="7"/>
        <v>1.6827585946139311E-3</v>
      </c>
      <c r="G228" s="29">
        <f>F228+'Without VBA'!$F$12*_xlfn.STDEV.P($E$7:$E$374)</f>
        <v>0.16157057372050279</v>
      </c>
      <c r="H228" s="26">
        <f>F228-'Without VBA'!$F$12*_xlfn.STDEV.P($E$7:$E$374)</f>
        <v>-0.15820505653127495</v>
      </c>
    </row>
    <row r="229" spans="2:8" x14ac:dyDescent="0.25">
      <c r="B229" s="25">
        <v>35828</v>
      </c>
      <c r="C229" s="7">
        <v>4878.37</v>
      </c>
      <c r="D229" s="7">
        <v>5201.05</v>
      </c>
      <c r="E229" s="29">
        <f t="shared" si="6"/>
        <v>6.6145044348829687E-2</v>
      </c>
      <c r="F229" s="29">
        <f t="shared" si="7"/>
        <v>1.6827585946139311E-3</v>
      </c>
      <c r="G229" s="29">
        <f>F229+'Without VBA'!$F$12*_xlfn.STDEV.P($E$7:$E$374)</f>
        <v>0.16157057372050279</v>
      </c>
      <c r="H229" s="26">
        <f>F229-'Without VBA'!$F$12*_xlfn.STDEV.P($E$7:$E$374)</f>
        <v>-0.15820505653127495</v>
      </c>
    </row>
    <row r="230" spans="2:8" x14ac:dyDescent="0.25">
      <c r="B230" s="25">
        <v>35796</v>
      </c>
      <c r="C230" s="7">
        <v>4787.6000000000004</v>
      </c>
      <c r="D230" s="7">
        <v>4861.4799999999996</v>
      </c>
      <c r="E230" s="29">
        <f t="shared" si="6"/>
        <v>1.5431531456261843E-2</v>
      </c>
      <c r="F230" s="29">
        <f t="shared" si="7"/>
        <v>1.6827585946139311E-3</v>
      </c>
      <c r="G230" s="29">
        <f>F230+'Without VBA'!$F$12*_xlfn.STDEV.P($E$7:$E$374)</f>
        <v>0.16157057372050279</v>
      </c>
      <c r="H230" s="26">
        <f>F230-'Without VBA'!$F$12*_xlfn.STDEV.P($E$7:$E$374)</f>
        <v>-0.15820505653127495</v>
      </c>
    </row>
    <row r="231" spans="2:8" x14ac:dyDescent="0.25">
      <c r="B231" s="25">
        <v>35765</v>
      </c>
      <c r="C231" s="7">
        <v>4657.6000000000004</v>
      </c>
      <c r="D231" s="7">
        <v>4787.6000000000004</v>
      </c>
      <c r="E231" s="29">
        <f t="shared" si="6"/>
        <v>2.7911370663002401E-2</v>
      </c>
      <c r="F231" s="29">
        <f t="shared" si="7"/>
        <v>1.6827585946139311E-3</v>
      </c>
      <c r="G231" s="29">
        <f>F231+'Without VBA'!$F$12*_xlfn.STDEV.P($E$7:$E$374)</f>
        <v>0.16157057372050279</v>
      </c>
      <c r="H231" s="26">
        <f>F231-'Without VBA'!$F$12*_xlfn.STDEV.P($E$7:$E$374)</f>
        <v>-0.15820505653127495</v>
      </c>
    </row>
    <row r="232" spans="2:8" x14ac:dyDescent="0.25">
      <c r="B232" s="25">
        <v>35737</v>
      </c>
      <c r="C232" s="7">
        <v>4663.6000000000004</v>
      </c>
      <c r="D232" s="7">
        <v>4656.7</v>
      </c>
      <c r="E232" s="29">
        <f t="shared" si="6"/>
        <v>-1.479543700145927E-3</v>
      </c>
      <c r="F232" s="29">
        <f t="shared" si="7"/>
        <v>1.6827585946139311E-3</v>
      </c>
      <c r="G232" s="29">
        <f>F232+'Without VBA'!$F$12*_xlfn.STDEV.P($E$7:$E$374)</f>
        <v>0.16157057372050279</v>
      </c>
      <c r="H232" s="26">
        <f>F232-'Without VBA'!$F$12*_xlfn.STDEV.P($E$7:$E$374)</f>
        <v>-0.15820505653127495</v>
      </c>
    </row>
    <row r="233" spans="2:8" x14ac:dyDescent="0.25">
      <c r="B233" s="25">
        <v>35704</v>
      </c>
      <c r="C233" s="7">
        <v>4839.3999999999996</v>
      </c>
      <c r="D233" s="7">
        <v>4643.2</v>
      </c>
      <c r="E233" s="29">
        <f t="shared" si="6"/>
        <v>-4.054221597718722E-2</v>
      </c>
      <c r="F233" s="29">
        <f t="shared" si="7"/>
        <v>1.6827585946139311E-3</v>
      </c>
      <c r="G233" s="29">
        <f>F233+'Without VBA'!$F$12*_xlfn.STDEV.P($E$7:$E$374)</f>
        <v>0.16157057372050279</v>
      </c>
      <c r="H233" s="26">
        <f>F233-'Without VBA'!$F$12*_xlfn.STDEV.P($E$7:$E$374)</f>
        <v>-0.15820505653127495</v>
      </c>
    </row>
    <row r="234" spans="2:8" x14ac:dyDescent="0.25">
      <c r="B234" s="25">
        <v>35674</v>
      </c>
      <c r="C234" s="7">
        <v>4610.2</v>
      </c>
      <c r="D234" s="7">
        <v>4829.8999999999996</v>
      </c>
      <c r="E234" s="29">
        <f t="shared" si="6"/>
        <v>4.7655199340592563E-2</v>
      </c>
      <c r="F234" s="29">
        <f t="shared" si="7"/>
        <v>1.6827585946139311E-3</v>
      </c>
      <c r="G234" s="29">
        <f>F234+'Without VBA'!$F$12*_xlfn.STDEV.P($E$7:$E$374)</f>
        <v>0.16157057372050279</v>
      </c>
      <c r="H234" s="26">
        <f>F234-'Without VBA'!$F$12*_xlfn.STDEV.P($E$7:$E$374)</f>
        <v>-0.15820505653127495</v>
      </c>
    </row>
    <row r="235" spans="2:8" x14ac:dyDescent="0.25">
      <c r="B235" s="25">
        <v>35643</v>
      </c>
      <c r="C235" s="7">
        <v>4488.3999999999996</v>
      </c>
      <c r="D235" s="7">
        <v>4603.3999999999996</v>
      </c>
      <c r="E235" s="29">
        <f t="shared" si="6"/>
        <v>2.5621602352731487E-2</v>
      </c>
      <c r="F235" s="29">
        <f t="shared" si="7"/>
        <v>1.6827585946139311E-3</v>
      </c>
      <c r="G235" s="29">
        <f>F235+'Without VBA'!$F$12*_xlfn.STDEV.P($E$7:$E$374)</f>
        <v>0.16157057372050279</v>
      </c>
      <c r="H235" s="26">
        <f>F235-'Without VBA'!$F$12*_xlfn.STDEV.P($E$7:$E$374)</f>
        <v>-0.15820505653127495</v>
      </c>
    </row>
    <row r="236" spans="2:8" x14ac:dyDescent="0.25">
      <c r="B236" s="25">
        <v>35612</v>
      </c>
      <c r="C236" s="7">
        <v>4452.5</v>
      </c>
      <c r="D236" s="7">
        <v>4492</v>
      </c>
      <c r="E236" s="29">
        <f t="shared" si="6"/>
        <v>8.8714205502526677E-3</v>
      </c>
      <c r="F236" s="29">
        <f t="shared" si="7"/>
        <v>1.6827585946139311E-3</v>
      </c>
      <c r="G236" s="29">
        <f>F236+'Without VBA'!$F$12*_xlfn.STDEV.P($E$7:$E$374)</f>
        <v>0.16157057372050279</v>
      </c>
      <c r="H236" s="26">
        <f>F236-'Without VBA'!$F$12*_xlfn.STDEV.P($E$7:$E$374)</f>
        <v>-0.15820505653127495</v>
      </c>
    </row>
    <row r="237" spans="2:8" x14ac:dyDescent="0.25">
      <c r="B237" s="25">
        <v>35583</v>
      </c>
      <c r="C237" s="7">
        <v>4481.8999999999996</v>
      </c>
      <c r="D237" s="7">
        <v>4431.3</v>
      </c>
      <c r="E237" s="29">
        <f t="shared" si="6"/>
        <v>-1.1289854749101822E-2</v>
      </c>
      <c r="F237" s="29">
        <f t="shared" si="7"/>
        <v>1.6827585946139311E-3</v>
      </c>
      <c r="G237" s="29">
        <f>F237+'Without VBA'!$F$12*_xlfn.STDEV.P($E$7:$E$374)</f>
        <v>0.16157057372050279</v>
      </c>
      <c r="H237" s="26">
        <f>F237-'Without VBA'!$F$12*_xlfn.STDEV.P($E$7:$E$374)</f>
        <v>-0.15820505653127495</v>
      </c>
    </row>
    <row r="238" spans="2:8" x14ac:dyDescent="0.25">
      <c r="B238" s="25">
        <v>35551</v>
      </c>
      <c r="C238" s="7">
        <v>4502.1000000000004</v>
      </c>
      <c r="D238" s="7">
        <v>4495.8</v>
      </c>
      <c r="E238" s="29">
        <f t="shared" si="6"/>
        <v>-1.3993469714133808E-3</v>
      </c>
      <c r="F238" s="29">
        <f t="shared" si="7"/>
        <v>1.6827585946139311E-3</v>
      </c>
      <c r="G238" s="29">
        <f>F238+'Without VBA'!$F$12*_xlfn.STDEV.P($E$7:$E$374)</f>
        <v>0.16157057372050279</v>
      </c>
      <c r="H238" s="26">
        <f>F238-'Without VBA'!$F$12*_xlfn.STDEV.P($E$7:$E$374)</f>
        <v>-0.15820505653127495</v>
      </c>
    </row>
    <row r="239" spans="2:8" x14ac:dyDescent="0.25">
      <c r="B239" s="25">
        <v>35521</v>
      </c>
      <c r="C239" s="7">
        <v>4497.3999999999996</v>
      </c>
      <c r="D239" s="7">
        <v>4498.7</v>
      </c>
      <c r="E239" s="29">
        <f t="shared" si="6"/>
        <v>2.8905589896388627E-4</v>
      </c>
      <c r="F239" s="29">
        <f t="shared" si="7"/>
        <v>1.6827585946139311E-3</v>
      </c>
      <c r="G239" s="29">
        <f>F239+'Without VBA'!$F$12*_xlfn.STDEV.P($E$7:$E$374)</f>
        <v>0.16157057372050279</v>
      </c>
      <c r="H239" s="26">
        <f>F239-'Without VBA'!$F$12*_xlfn.STDEV.P($E$7:$E$374)</f>
        <v>-0.15820505653127495</v>
      </c>
    </row>
    <row r="240" spans="2:8" x14ac:dyDescent="0.25">
      <c r="B240" s="25">
        <v>35492</v>
      </c>
      <c r="C240" s="7">
        <v>4654.5</v>
      </c>
      <c r="D240" s="7">
        <v>4576.2</v>
      </c>
      <c r="E240" s="29">
        <f t="shared" si="6"/>
        <v>-1.6822429906542095E-2</v>
      </c>
      <c r="F240" s="29">
        <f t="shared" si="7"/>
        <v>1.6827585946139311E-3</v>
      </c>
      <c r="G240" s="29">
        <f>F240+'Without VBA'!$F$12*_xlfn.STDEV.P($E$7:$E$374)</f>
        <v>0.16157057372050279</v>
      </c>
      <c r="H240" s="26">
        <f>F240-'Without VBA'!$F$12*_xlfn.STDEV.P($E$7:$E$374)</f>
        <v>-0.15820505653127495</v>
      </c>
    </row>
    <row r="241" spans="2:8" x14ac:dyDescent="0.25">
      <c r="B241" s="25">
        <v>35464</v>
      </c>
      <c r="C241" s="7">
        <v>4574.8999999999996</v>
      </c>
      <c r="D241" s="7">
        <v>4654.3999999999996</v>
      </c>
      <c r="E241" s="29">
        <f t="shared" si="6"/>
        <v>1.7377429014841857E-2</v>
      </c>
      <c r="F241" s="29">
        <f t="shared" si="7"/>
        <v>1.6827585946139311E-3</v>
      </c>
      <c r="G241" s="29">
        <f>F241+'Without VBA'!$F$12*_xlfn.STDEV.P($E$7:$E$374)</f>
        <v>0.16157057372050279</v>
      </c>
      <c r="H241" s="26">
        <f>F241-'Without VBA'!$F$12*_xlfn.STDEV.P($E$7:$E$374)</f>
        <v>-0.15820505653127495</v>
      </c>
    </row>
    <row r="242" spans="2:8" x14ac:dyDescent="0.25">
      <c r="B242" s="25">
        <v>35431</v>
      </c>
      <c r="C242" s="7">
        <v>4490.3999999999996</v>
      </c>
      <c r="D242" s="7">
        <v>4595.3999999999996</v>
      </c>
      <c r="E242" s="29">
        <f t="shared" si="6"/>
        <v>2.338321753073223E-2</v>
      </c>
      <c r="F242" s="29">
        <f t="shared" si="7"/>
        <v>1.6827585946139311E-3</v>
      </c>
      <c r="G242" s="29">
        <f>F242+'Without VBA'!$F$12*_xlfn.STDEV.P($E$7:$E$374)</f>
        <v>0.16157057372050279</v>
      </c>
      <c r="H242" s="26">
        <f>F242-'Without VBA'!$F$12*_xlfn.STDEV.P($E$7:$E$374)</f>
        <v>-0.15820505653127495</v>
      </c>
    </row>
    <row r="243" spans="2:8" x14ac:dyDescent="0.25">
      <c r="B243" s="25">
        <v>35401</v>
      </c>
      <c r="C243" s="7">
        <v>4414.8</v>
      </c>
      <c r="D243" s="7">
        <v>4490.3999999999996</v>
      </c>
      <c r="E243" s="29">
        <f t="shared" si="6"/>
        <v>1.7124218537645976E-2</v>
      </c>
      <c r="F243" s="29">
        <f t="shared" si="7"/>
        <v>1.6827585946139311E-3</v>
      </c>
      <c r="G243" s="29">
        <f>F243+'Without VBA'!$F$12*_xlfn.STDEV.P($E$7:$E$374)</f>
        <v>0.16157057372050279</v>
      </c>
      <c r="H243" s="26">
        <f>F243-'Without VBA'!$F$12*_xlfn.STDEV.P($E$7:$E$374)</f>
        <v>-0.15820505653127495</v>
      </c>
    </row>
    <row r="244" spans="2:8" x14ac:dyDescent="0.25">
      <c r="B244" s="25">
        <v>35370</v>
      </c>
      <c r="C244" s="7">
        <v>4429.2</v>
      </c>
      <c r="D244" s="7">
        <v>4428.5</v>
      </c>
      <c r="E244" s="29">
        <f t="shared" si="6"/>
        <v>-1.580420843492771E-4</v>
      </c>
      <c r="F244" s="29">
        <f t="shared" si="7"/>
        <v>1.6827585946139311E-3</v>
      </c>
      <c r="G244" s="29">
        <f>F244+'Without VBA'!$F$12*_xlfn.STDEV.P($E$7:$E$374)</f>
        <v>0.16157057372050279</v>
      </c>
      <c r="H244" s="26">
        <f>F244-'Without VBA'!$F$12*_xlfn.STDEV.P($E$7:$E$374)</f>
        <v>-0.15820505653127495</v>
      </c>
    </row>
    <row r="245" spans="2:8" x14ac:dyDescent="0.25">
      <c r="B245" s="25">
        <v>35339</v>
      </c>
      <c r="C245" s="7">
        <v>4409.8</v>
      </c>
      <c r="D245" s="7">
        <v>4422.5</v>
      </c>
      <c r="E245" s="29">
        <f t="shared" si="6"/>
        <v>2.8799492040454937E-3</v>
      </c>
      <c r="F245" s="29">
        <f t="shared" si="7"/>
        <v>1.6827585946139311E-3</v>
      </c>
      <c r="G245" s="29">
        <f>F245+'Without VBA'!$F$12*_xlfn.STDEV.P($E$7:$E$374)</f>
        <v>0.16157057372050279</v>
      </c>
      <c r="H245" s="26">
        <f>F245-'Without VBA'!$F$12*_xlfn.STDEV.P($E$7:$E$374)</f>
        <v>-0.15820505653127495</v>
      </c>
    </row>
    <row r="246" spans="2:8" x14ac:dyDescent="0.25">
      <c r="B246" s="25">
        <v>35310</v>
      </c>
      <c r="C246" s="7">
        <v>4414</v>
      </c>
      <c r="D246" s="7">
        <v>4391.1000000000004</v>
      </c>
      <c r="E246" s="29">
        <f t="shared" si="6"/>
        <v>-5.1880380607158211E-3</v>
      </c>
      <c r="F246" s="29">
        <f t="shared" si="7"/>
        <v>1.6827585946139311E-3</v>
      </c>
      <c r="G246" s="29">
        <f>F246+'Without VBA'!$F$12*_xlfn.STDEV.P($E$7:$E$374)</f>
        <v>0.16157057372050279</v>
      </c>
      <c r="H246" s="26">
        <f>F246-'Without VBA'!$F$12*_xlfn.STDEV.P($E$7:$E$374)</f>
        <v>-0.15820505653127495</v>
      </c>
    </row>
    <row r="247" spans="2:8" x14ac:dyDescent="0.25">
      <c r="B247" s="25">
        <v>35278</v>
      </c>
      <c r="C247" s="7">
        <v>4243</v>
      </c>
      <c r="D247" s="7">
        <v>4416.2</v>
      </c>
      <c r="E247" s="29">
        <f t="shared" si="6"/>
        <v>4.0820174404902147E-2</v>
      </c>
      <c r="F247" s="29">
        <f t="shared" si="7"/>
        <v>1.6827585946139311E-3</v>
      </c>
      <c r="G247" s="29">
        <f>F247+'Without VBA'!$F$12*_xlfn.STDEV.P($E$7:$E$374)</f>
        <v>0.16157057372050279</v>
      </c>
      <c r="H247" s="26">
        <f>F247-'Without VBA'!$F$12*_xlfn.STDEV.P($E$7:$E$374)</f>
        <v>-0.15820505653127495</v>
      </c>
    </row>
    <row r="248" spans="2:8" x14ac:dyDescent="0.25">
      <c r="B248" s="25">
        <v>35247</v>
      </c>
      <c r="C248" s="7">
        <v>4370.3999999999996</v>
      </c>
      <c r="D248" s="7">
        <v>4230.6000000000004</v>
      </c>
      <c r="E248" s="29">
        <f t="shared" si="6"/>
        <v>-3.1987918725974576E-2</v>
      </c>
      <c r="F248" s="29">
        <f t="shared" si="7"/>
        <v>1.6827585946139311E-3</v>
      </c>
      <c r="G248" s="29">
        <f>F248+'Without VBA'!$F$12*_xlfn.STDEV.P($E$7:$E$374)</f>
        <v>0.16157057372050279</v>
      </c>
      <c r="H248" s="26">
        <f>F248-'Without VBA'!$F$12*_xlfn.STDEV.P($E$7:$E$374)</f>
        <v>-0.15820505653127495</v>
      </c>
    </row>
    <row r="249" spans="2:8" x14ac:dyDescent="0.25">
      <c r="B249" s="25">
        <v>35219</v>
      </c>
      <c r="C249" s="7">
        <v>4505.5</v>
      </c>
      <c r="D249" s="7">
        <v>4353.2</v>
      </c>
      <c r="E249" s="29">
        <f t="shared" si="6"/>
        <v>-3.3803129508378688E-2</v>
      </c>
      <c r="F249" s="29">
        <f t="shared" si="7"/>
        <v>1.6827585946139311E-3</v>
      </c>
      <c r="G249" s="29">
        <f>F249+'Without VBA'!$F$12*_xlfn.STDEV.P($E$7:$E$374)</f>
        <v>0.16157057372050279</v>
      </c>
      <c r="H249" s="26">
        <f>F249-'Without VBA'!$F$12*_xlfn.STDEV.P($E$7:$E$374)</f>
        <v>-0.15820505653127495</v>
      </c>
    </row>
    <row r="250" spans="2:8" x14ac:dyDescent="0.25">
      <c r="B250" s="25">
        <v>35186</v>
      </c>
      <c r="C250" s="7">
        <v>4540.1000000000004</v>
      </c>
      <c r="D250" s="7">
        <v>4510</v>
      </c>
      <c r="E250" s="29">
        <f t="shared" si="6"/>
        <v>-6.6298099160812234E-3</v>
      </c>
      <c r="F250" s="29">
        <f t="shared" si="7"/>
        <v>1.6827585946139311E-3</v>
      </c>
      <c r="G250" s="29">
        <f>F250+'Without VBA'!$F$12*_xlfn.STDEV.P($E$7:$E$374)</f>
        <v>0.16157057372050279</v>
      </c>
      <c r="H250" s="26">
        <f>F250-'Without VBA'!$F$12*_xlfn.STDEV.P($E$7:$E$374)</f>
        <v>-0.15820505653127495</v>
      </c>
    </row>
    <row r="251" spans="2:8" x14ac:dyDescent="0.25">
      <c r="B251" s="25">
        <v>35156</v>
      </c>
      <c r="C251" s="7">
        <v>4326.8999999999996</v>
      </c>
      <c r="D251" s="7">
        <v>4551.8</v>
      </c>
      <c r="E251" s="29">
        <f t="shared" si="6"/>
        <v>5.1977166100441556E-2</v>
      </c>
      <c r="F251" s="29">
        <f t="shared" si="7"/>
        <v>1.6827585946139311E-3</v>
      </c>
      <c r="G251" s="29">
        <f>F251+'Without VBA'!$F$12*_xlfn.STDEV.P($E$7:$E$374)</f>
        <v>0.16157057372050279</v>
      </c>
      <c r="H251" s="26">
        <f>F251-'Without VBA'!$F$12*_xlfn.STDEV.P($E$7:$E$374)</f>
        <v>-0.15820505653127495</v>
      </c>
    </row>
    <row r="252" spans="2:8" x14ac:dyDescent="0.25">
      <c r="B252" s="25">
        <v>35125</v>
      </c>
      <c r="C252" s="7">
        <v>4236.3999999999996</v>
      </c>
      <c r="D252" s="7">
        <v>4326.7</v>
      </c>
      <c r="E252" s="29">
        <f t="shared" si="6"/>
        <v>2.1315267680105793E-2</v>
      </c>
      <c r="F252" s="29">
        <f t="shared" si="7"/>
        <v>1.6827585946139311E-3</v>
      </c>
      <c r="G252" s="29">
        <f>F252+'Without VBA'!$F$12*_xlfn.STDEV.P($E$7:$E$374)</f>
        <v>0.16157057372050279</v>
      </c>
      <c r="H252" s="26">
        <f>F252-'Without VBA'!$F$12*_xlfn.STDEV.P($E$7:$E$374)</f>
        <v>-0.15820505653127495</v>
      </c>
    </row>
    <row r="253" spans="2:8" x14ac:dyDescent="0.25">
      <c r="B253" s="25">
        <v>35096</v>
      </c>
      <c r="C253" s="7">
        <v>4128.8999999999996</v>
      </c>
      <c r="D253" s="7">
        <v>4215</v>
      </c>
      <c r="E253" s="29">
        <f t="shared" si="6"/>
        <v>2.0853011698031044E-2</v>
      </c>
      <c r="F253" s="29">
        <f t="shared" si="7"/>
        <v>1.6827585946139311E-3</v>
      </c>
      <c r="G253" s="29">
        <f>F253+'Without VBA'!$F$12*_xlfn.STDEV.P($E$7:$E$374)</f>
        <v>0.16157057372050279</v>
      </c>
      <c r="H253" s="26">
        <f>F253-'Without VBA'!$F$12*_xlfn.STDEV.P($E$7:$E$374)</f>
        <v>-0.15820505653127495</v>
      </c>
    </row>
    <row r="254" spans="2:8" x14ac:dyDescent="0.25">
      <c r="B254" s="25">
        <v>35065</v>
      </c>
      <c r="C254" s="7">
        <v>4021.3</v>
      </c>
      <c r="D254" s="7">
        <v>4125</v>
      </c>
      <c r="E254" s="29">
        <f t="shared" si="6"/>
        <v>2.5787680600800691E-2</v>
      </c>
      <c r="F254" s="29">
        <f t="shared" si="7"/>
        <v>1.6827585946139311E-3</v>
      </c>
      <c r="G254" s="29">
        <f>F254+'Without VBA'!$F$12*_xlfn.STDEV.P($E$7:$E$374)</f>
        <v>0.16157057372050279</v>
      </c>
      <c r="H254" s="26">
        <f>F254-'Without VBA'!$F$12*_xlfn.STDEV.P($E$7:$E$374)</f>
        <v>-0.15820505653127495</v>
      </c>
    </row>
    <row r="255" spans="2:8" x14ac:dyDescent="0.25">
      <c r="B255" s="25">
        <v>35034</v>
      </c>
      <c r="C255" s="7">
        <v>3963.7</v>
      </c>
      <c r="D255" s="7">
        <v>4021.3</v>
      </c>
      <c r="E255" s="29">
        <f t="shared" si="6"/>
        <v>1.453187678179488E-2</v>
      </c>
      <c r="F255" s="29">
        <f t="shared" si="7"/>
        <v>1.6827585946139311E-3</v>
      </c>
      <c r="G255" s="29">
        <f>F255+'Without VBA'!$F$12*_xlfn.STDEV.P($E$7:$E$374)</f>
        <v>0.16157057372050279</v>
      </c>
      <c r="H255" s="26">
        <f>F255-'Without VBA'!$F$12*_xlfn.STDEV.P($E$7:$E$374)</f>
        <v>-0.15820505653127495</v>
      </c>
    </row>
    <row r="256" spans="2:8" x14ac:dyDescent="0.25">
      <c r="B256" s="25">
        <v>35004</v>
      </c>
      <c r="C256" s="7">
        <v>3888.5</v>
      </c>
      <c r="D256" s="7">
        <v>3959.1</v>
      </c>
      <c r="E256" s="29">
        <f t="shared" si="6"/>
        <v>1.8156101324418132E-2</v>
      </c>
      <c r="F256" s="29">
        <f t="shared" si="7"/>
        <v>1.6827585946139311E-3</v>
      </c>
      <c r="G256" s="29">
        <f>F256+'Without VBA'!$F$12*_xlfn.STDEV.P($E$7:$E$374)</f>
        <v>0.16157057372050279</v>
      </c>
      <c r="H256" s="26">
        <f>F256-'Without VBA'!$F$12*_xlfn.STDEV.P($E$7:$E$374)</f>
        <v>-0.15820505653127495</v>
      </c>
    </row>
    <row r="257" spans="2:8" x14ac:dyDescent="0.25">
      <c r="B257" s="25">
        <v>34974</v>
      </c>
      <c r="C257" s="7">
        <v>3958.9</v>
      </c>
      <c r="D257" s="7">
        <v>3894.3</v>
      </c>
      <c r="E257" s="29">
        <f t="shared" si="6"/>
        <v>-1.631766399757506E-2</v>
      </c>
      <c r="F257" s="29">
        <f t="shared" si="7"/>
        <v>1.6827585946139311E-3</v>
      </c>
      <c r="G257" s="29">
        <f>F257+'Without VBA'!$F$12*_xlfn.STDEV.P($E$7:$E$374)</f>
        <v>0.16157057372050279</v>
      </c>
      <c r="H257" s="26">
        <f>F257-'Without VBA'!$F$12*_xlfn.STDEV.P($E$7:$E$374)</f>
        <v>-0.15820505653127495</v>
      </c>
    </row>
    <row r="258" spans="2:8" x14ac:dyDescent="0.25">
      <c r="B258" s="25">
        <v>34943</v>
      </c>
      <c r="C258" s="7">
        <v>3931.8</v>
      </c>
      <c r="D258" s="7">
        <v>3948.8</v>
      </c>
      <c r="E258" s="29">
        <f t="shared" si="6"/>
        <v>4.3237194160435418E-3</v>
      </c>
      <c r="F258" s="29">
        <f t="shared" si="7"/>
        <v>1.6827585946139311E-3</v>
      </c>
      <c r="G258" s="29">
        <f>F258+'Without VBA'!$F$12*_xlfn.STDEV.P($E$7:$E$374)</f>
        <v>0.16157057372050279</v>
      </c>
      <c r="H258" s="26">
        <f>F258-'Without VBA'!$F$12*_xlfn.STDEV.P($E$7:$E$374)</f>
        <v>-0.15820505653127495</v>
      </c>
    </row>
    <row r="259" spans="2:8" x14ac:dyDescent="0.25">
      <c r="B259" s="25">
        <v>34912</v>
      </c>
      <c r="C259" s="7">
        <v>3821.1</v>
      </c>
      <c r="D259" s="7">
        <v>3913.4</v>
      </c>
      <c r="E259" s="29">
        <f t="shared" si="6"/>
        <v>2.4155347936458137E-2</v>
      </c>
      <c r="F259" s="29">
        <f t="shared" si="7"/>
        <v>1.6827585946139311E-3</v>
      </c>
      <c r="G259" s="29">
        <f>F259+'Without VBA'!$F$12*_xlfn.STDEV.P($E$7:$E$374)</f>
        <v>0.16157057372050279</v>
      </c>
      <c r="H259" s="26">
        <f>F259-'Without VBA'!$F$12*_xlfn.STDEV.P($E$7:$E$374)</f>
        <v>-0.15820505653127495</v>
      </c>
    </row>
    <row r="260" spans="2:8" x14ac:dyDescent="0.25">
      <c r="B260" s="25">
        <v>34883</v>
      </c>
      <c r="C260" s="7">
        <v>3599.8</v>
      </c>
      <c r="D260" s="7">
        <v>3826</v>
      </c>
      <c r="E260" s="29">
        <f t="shared" si="6"/>
        <v>6.2836824268014832E-2</v>
      </c>
      <c r="F260" s="29">
        <f t="shared" si="7"/>
        <v>1.6827585946139311E-3</v>
      </c>
      <c r="G260" s="29">
        <f>F260+'Without VBA'!$F$12*_xlfn.STDEV.P($E$7:$E$374)</f>
        <v>0.16157057372050279</v>
      </c>
      <c r="H260" s="26">
        <f>F260-'Without VBA'!$F$12*_xlfn.STDEV.P($E$7:$E$374)</f>
        <v>-0.15820505653127495</v>
      </c>
    </row>
    <row r="261" spans="2:8" x14ac:dyDescent="0.25">
      <c r="B261" s="25">
        <v>34851</v>
      </c>
      <c r="C261" s="7">
        <v>3674.8</v>
      </c>
      <c r="D261" s="7">
        <v>3592.6</v>
      </c>
      <c r="E261" s="29">
        <f t="shared" si="6"/>
        <v>-2.2368564275606909E-2</v>
      </c>
      <c r="F261" s="29">
        <f t="shared" si="7"/>
        <v>1.6827585946139311E-3</v>
      </c>
      <c r="G261" s="29">
        <f>F261+'Without VBA'!$F$12*_xlfn.STDEV.P($E$7:$E$374)</f>
        <v>0.16157057372050279</v>
      </c>
      <c r="H261" s="26">
        <f>F261-'Without VBA'!$F$12*_xlfn.STDEV.P($E$7:$E$374)</f>
        <v>-0.15820505653127495</v>
      </c>
    </row>
    <row r="262" spans="2:8" x14ac:dyDescent="0.25">
      <c r="B262" s="25">
        <v>34820</v>
      </c>
      <c r="C262" s="7">
        <v>3529.3</v>
      </c>
      <c r="D262" s="7">
        <v>3653.8</v>
      </c>
      <c r="E262" s="29">
        <f t="shared" si="6"/>
        <v>3.5276117077040772E-2</v>
      </c>
      <c r="F262" s="29">
        <f t="shared" si="7"/>
        <v>1.6827585946139311E-3</v>
      </c>
      <c r="G262" s="29">
        <f>F262+'Without VBA'!$F$12*_xlfn.STDEV.P($E$7:$E$374)</f>
        <v>0.16157057372050279</v>
      </c>
      <c r="H262" s="26">
        <f>F262-'Without VBA'!$F$12*_xlfn.STDEV.P($E$7:$E$374)</f>
        <v>-0.15820505653127495</v>
      </c>
    </row>
    <row r="263" spans="2:8" x14ac:dyDescent="0.25">
      <c r="B263" s="25">
        <v>34792</v>
      </c>
      <c r="C263" s="7">
        <v>3437.6</v>
      </c>
      <c r="D263" s="7">
        <v>3530.2</v>
      </c>
      <c r="E263" s="29">
        <f t="shared" ref="E263:E326" si="8">(D263-C263)/C263</f>
        <v>2.6937398184780054E-2</v>
      </c>
      <c r="F263" s="29">
        <f t="shared" ref="F263:F326" si="9">AVERAGE($E$7:$E$374)</f>
        <v>1.6827585946139311E-3</v>
      </c>
      <c r="G263" s="29">
        <f>F263+'Without VBA'!$F$12*_xlfn.STDEV.P($E$7:$E$374)</f>
        <v>0.16157057372050279</v>
      </c>
      <c r="H263" s="26">
        <f>F263-'Without VBA'!$F$12*_xlfn.STDEV.P($E$7:$E$374)</f>
        <v>-0.15820505653127495</v>
      </c>
    </row>
    <row r="264" spans="2:8" x14ac:dyDescent="0.25">
      <c r="B264" s="25">
        <v>34759</v>
      </c>
      <c r="C264" s="7">
        <v>3394.1</v>
      </c>
      <c r="D264" s="7">
        <v>3434.7</v>
      </c>
      <c r="E264" s="29">
        <f t="shared" si="8"/>
        <v>1.1961933944197258E-2</v>
      </c>
      <c r="F264" s="29">
        <f t="shared" si="9"/>
        <v>1.6827585946139311E-3</v>
      </c>
      <c r="G264" s="29">
        <f>F264+'Without VBA'!$F$12*_xlfn.STDEV.P($E$7:$E$374)</f>
        <v>0.16157057372050279</v>
      </c>
      <c r="H264" s="26">
        <f>F264-'Without VBA'!$F$12*_xlfn.STDEV.P($E$7:$E$374)</f>
        <v>-0.15820505653127495</v>
      </c>
    </row>
    <row r="265" spans="2:8" x14ac:dyDescent="0.25">
      <c r="B265" s="25">
        <v>34731</v>
      </c>
      <c r="C265" s="7">
        <v>3377.7</v>
      </c>
      <c r="D265" s="7">
        <v>3384.1</v>
      </c>
      <c r="E265" s="29">
        <f t="shared" si="8"/>
        <v>1.8947804719187883E-3</v>
      </c>
      <c r="F265" s="29">
        <f t="shared" si="9"/>
        <v>1.6827585946139311E-3</v>
      </c>
      <c r="G265" s="29">
        <f>F265+'Without VBA'!$F$12*_xlfn.STDEV.P($E$7:$E$374)</f>
        <v>0.16157057372050279</v>
      </c>
      <c r="H265" s="26">
        <f>F265-'Without VBA'!$F$12*_xlfn.STDEV.P($E$7:$E$374)</f>
        <v>-0.15820505653127495</v>
      </c>
    </row>
    <row r="266" spans="2:8" x14ac:dyDescent="0.25">
      <c r="B266" s="25">
        <v>34701</v>
      </c>
      <c r="C266" s="7">
        <v>3501.8</v>
      </c>
      <c r="D266" s="7">
        <v>3370.4</v>
      </c>
      <c r="E266" s="29">
        <f t="shared" si="8"/>
        <v>-3.7523559312353669E-2</v>
      </c>
      <c r="F266" s="29">
        <f t="shared" si="9"/>
        <v>1.6827585946139311E-3</v>
      </c>
      <c r="G266" s="29">
        <f>F266+'Without VBA'!$F$12*_xlfn.STDEV.P($E$7:$E$374)</f>
        <v>0.16157057372050279</v>
      </c>
      <c r="H266" s="26">
        <f>F266-'Without VBA'!$F$12*_xlfn.STDEV.P($E$7:$E$374)</f>
        <v>-0.15820505653127495</v>
      </c>
    </row>
    <row r="267" spans="2:8" x14ac:dyDescent="0.25">
      <c r="B267" s="25">
        <v>34669</v>
      </c>
      <c r="C267" s="7">
        <v>3477.1</v>
      </c>
      <c r="D267" s="7">
        <v>3501.8</v>
      </c>
      <c r="E267" s="29">
        <f t="shared" si="8"/>
        <v>7.1036208334532436E-3</v>
      </c>
      <c r="F267" s="29">
        <f t="shared" si="9"/>
        <v>1.6827585946139311E-3</v>
      </c>
      <c r="G267" s="29">
        <f>F267+'Without VBA'!$F$12*_xlfn.STDEV.P($E$7:$E$374)</f>
        <v>0.16157057372050279</v>
      </c>
      <c r="H267" s="26">
        <f>F267-'Without VBA'!$F$12*_xlfn.STDEV.P($E$7:$E$374)</f>
        <v>-0.15820505653127495</v>
      </c>
    </row>
    <row r="268" spans="2:8" x14ac:dyDescent="0.25">
      <c r="B268" s="25">
        <v>34639</v>
      </c>
      <c r="C268" s="7">
        <v>3524.3</v>
      </c>
      <c r="D268" s="7">
        <v>3497.3</v>
      </c>
      <c r="E268" s="29">
        <f t="shared" si="8"/>
        <v>-7.6610958204466131E-3</v>
      </c>
      <c r="F268" s="29">
        <f t="shared" si="9"/>
        <v>1.6827585946139311E-3</v>
      </c>
      <c r="G268" s="29">
        <f>F268+'Without VBA'!$F$12*_xlfn.STDEV.P($E$7:$E$374)</f>
        <v>0.16157057372050279</v>
      </c>
      <c r="H268" s="26">
        <f>F268-'Without VBA'!$F$12*_xlfn.STDEV.P($E$7:$E$374)</f>
        <v>-0.15820505653127495</v>
      </c>
    </row>
    <row r="269" spans="2:8" x14ac:dyDescent="0.25">
      <c r="B269" s="25">
        <v>34610</v>
      </c>
      <c r="C269" s="7">
        <v>3449.6</v>
      </c>
      <c r="D269" s="7">
        <v>3516.9</v>
      </c>
      <c r="E269" s="29">
        <f t="shared" si="8"/>
        <v>1.9509508348794117E-2</v>
      </c>
      <c r="F269" s="29">
        <f t="shared" si="9"/>
        <v>1.6827585946139311E-3</v>
      </c>
      <c r="G269" s="29">
        <f>F269+'Without VBA'!$F$12*_xlfn.STDEV.P($E$7:$E$374)</f>
        <v>0.16157057372050279</v>
      </c>
      <c r="H269" s="26">
        <f>F269-'Without VBA'!$F$12*_xlfn.STDEV.P($E$7:$E$374)</f>
        <v>-0.15820505653127495</v>
      </c>
    </row>
    <row r="270" spans="2:8" x14ac:dyDescent="0.25">
      <c r="B270" s="25">
        <v>34578</v>
      </c>
      <c r="C270" s="7">
        <v>3794.3</v>
      </c>
      <c r="D270" s="7">
        <v>3494.8</v>
      </c>
      <c r="E270" s="29">
        <f t="shared" si="8"/>
        <v>-7.8934190759823941E-2</v>
      </c>
      <c r="F270" s="29">
        <f t="shared" si="9"/>
        <v>1.6827585946139311E-3</v>
      </c>
      <c r="G270" s="29">
        <f>F270+'Without VBA'!$F$12*_xlfn.STDEV.P($E$7:$E$374)</f>
        <v>0.16157057372050279</v>
      </c>
      <c r="H270" s="26">
        <f>F270-'Without VBA'!$F$12*_xlfn.STDEV.P($E$7:$E$374)</f>
        <v>-0.15820505653127495</v>
      </c>
    </row>
    <row r="271" spans="2:8" x14ac:dyDescent="0.25">
      <c r="B271" s="25">
        <v>34547</v>
      </c>
      <c r="C271" s="7">
        <v>3641.4</v>
      </c>
      <c r="D271" s="7">
        <v>3816.6</v>
      </c>
      <c r="E271" s="29">
        <f t="shared" si="8"/>
        <v>4.8113362992255673E-2</v>
      </c>
      <c r="F271" s="29">
        <f t="shared" si="9"/>
        <v>1.6827585946139311E-3</v>
      </c>
      <c r="G271" s="29">
        <f>F271+'Without VBA'!$F$12*_xlfn.STDEV.P($E$7:$E$374)</f>
        <v>0.16157057372050279</v>
      </c>
      <c r="H271" s="26">
        <f>F271-'Without VBA'!$F$12*_xlfn.STDEV.P($E$7:$E$374)</f>
        <v>-0.15820505653127495</v>
      </c>
    </row>
    <row r="272" spans="2:8" x14ac:dyDescent="0.25">
      <c r="B272" s="25">
        <v>34516</v>
      </c>
      <c r="C272" s="7">
        <v>3415.8</v>
      </c>
      <c r="D272" s="7">
        <v>3640.2</v>
      </c>
      <c r="E272" s="29">
        <f t="shared" si="8"/>
        <v>6.5694712805199257E-2</v>
      </c>
      <c r="F272" s="29">
        <f t="shared" si="9"/>
        <v>1.6827585946139311E-3</v>
      </c>
      <c r="G272" s="29">
        <f>F272+'Without VBA'!$F$12*_xlfn.STDEV.P($E$7:$E$374)</f>
        <v>0.16157057372050279</v>
      </c>
      <c r="H272" s="26">
        <f>F272-'Without VBA'!$F$12*_xlfn.STDEV.P($E$7:$E$374)</f>
        <v>-0.15820505653127495</v>
      </c>
    </row>
    <row r="273" spans="2:8" x14ac:dyDescent="0.25">
      <c r="B273" s="25">
        <v>34486</v>
      </c>
      <c r="C273" s="7">
        <v>3537.7</v>
      </c>
      <c r="D273" s="7">
        <v>3414.1</v>
      </c>
      <c r="E273" s="29">
        <f t="shared" si="8"/>
        <v>-3.4937954037934225E-2</v>
      </c>
      <c r="F273" s="29">
        <f t="shared" si="9"/>
        <v>1.6827585946139311E-3</v>
      </c>
      <c r="G273" s="29">
        <f>F273+'Without VBA'!$F$12*_xlfn.STDEV.P($E$7:$E$374)</f>
        <v>0.16157057372050279</v>
      </c>
      <c r="H273" s="26">
        <f>F273-'Without VBA'!$F$12*_xlfn.STDEV.P($E$7:$E$374)</f>
        <v>-0.15820505653127495</v>
      </c>
    </row>
    <row r="274" spans="2:8" x14ac:dyDescent="0.25">
      <c r="B274" s="25">
        <v>34456</v>
      </c>
      <c r="C274" s="7">
        <v>3781.1</v>
      </c>
      <c r="D274" s="7">
        <v>3564.3</v>
      </c>
      <c r="E274" s="29">
        <f t="shared" si="8"/>
        <v>-5.7337811747903977E-2</v>
      </c>
      <c r="F274" s="29">
        <f t="shared" si="9"/>
        <v>1.6827585946139311E-3</v>
      </c>
      <c r="G274" s="29">
        <f>F274+'Without VBA'!$F$12*_xlfn.STDEV.P($E$7:$E$374)</f>
        <v>0.16157057372050279</v>
      </c>
      <c r="H274" s="26">
        <f>F274-'Without VBA'!$F$12*_xlfn.STDEV.P($E$7:$E$374)</f>
        <v>-0.15820505653127495</v>
      </c>
    </row>
    <row r="275" spans="2:8" x14ac:dyDescent="0.25">
      <c r="B275" s="25">
        <v>34425</v>
      </c>
      <c r="C275" s="7">
        <v>3752.9</v>
      </c>
      <c r="D275" s="7">
        <v>3781.1</v>
      </c>
      <c r="E275" s="29">
        <f t="shared" si="8"/>
        <v>7.5141890271522866E-3</v>
      </c>
      <c r="F275" s="29">
        <f t="shared" si="9"/>
        <v>1.6827585946139311E-3</v>
      </c>
      <c r="G275" s="29">
        <f>F275+'Without VBA'!$F$12*_xlfn.STDEV.P($E$7:$E$374)</f>
        <v>0.16157057372050279</v>
      </c>
      <c r="H275" s="26">
        <f>F275-'Without VBA'!$F$12*_xlfn.STDEV.P($E$7:$E$374)</f>
        <v>-0.15820505653127495</v>
      </c>
    </row>
    <row r="276" spans="2:8" x14ac:dyDescent="0.25">
      <c r="B276" s="25">
        <v>34394</v>
      </c>
      <c r="C276" s="7">
        <v>3944.6</v>
      </c>
      <c r="D276" s="7">
        <v>3752.9</v>
      </c>
      <c r="E276" s="29">
        <f t="shared" si="8"/>
        <v>-4.8598083455863667E-2</v>
      </c>
      <c r="F276" s="29">
        <f t="shared" si="9"/>
        <v>1.6827585946139311E-3</v>
      </c>
      <c r="G276" s="29">
        <f>F276+'Without VBA'!$F$12*_xlfn.STDEV.P($E$7:$E$374)</f>
        <v>0.16157057372050279</v>
      </c>
      <c r="H276" s="26">
        <f>F276-'Without VBA'!$F$12*_xlfn.STDEV.P($E$7:$E$374)</f>
        <v>-0.15820505653127495</v>
      </c>
    </row>
    <row r="277" spans="2:8" x14ac:dyDescent="0.25">
      <c r="B277" s="25">
        <v>34366</v>
      </c>
      <c r="C277" s="7">
        <v>4105.3999999999996</v>
      </c>
      <c r="D277" s="7">
        <v>3960</v>
      </c>
      <c r="E277" s="29">
        <f t="shared" si="8"/>
        <v>-3.5416768159010001E-2</v>
      </c>
      <c r="F277" s="29">
        <f t="shared" si="9"/>
        <v>1.6827585946139311E-3</v>
      </c>
      <c r="G277" s="29">
        <f>F277+'Without VBA'!$F$12*_xlfn.STDEV.P($E$7:$E$374)</f>
        <v>0.16157057372050279</v>
      </c>
      <c r="H277" s="26">
        <f>F277-'Without VBA'!$F$12*_xlfn.STDEV.P($E$7:$E$374)</f>
        <v>-0.15820505653127495</v>
      </c>
    </row>
    <row r="278" spans="2:8" x14ac:dyDescent="0.25">
      <c r="B278" s="25">
        <v>34337</v>
      </c>
      <c r="C278" s="7">
        <v>3791.3</v>
      </c>
      <c r="D278" s="7">
        <v>4084.3</v>
      </c>
      <c r="E278" s="29">
        <f t="shared" si="8"/>
        <v>7.7282198718117798E-2</v>
      </c>
      <c r="F278" s="29">
        <f t="shared" si="9"/>
        <v>1.6827585946139311E-3</v>
      </c>
      <c r="G278" s="29">
        <f>F278+'Without VBA'!$F$12*_xlfn.STDEV.P($E$7:$E$374)</f>
        <v>0.16157057372050279</v>
      </c>
      <c r="H278" s="26">
        <f>F278-'Without VBA'!$F$12*_xlfn.STDEV.P($E$7:$E$374)</f>
        <v>-0.15820505653127495</v>
      </c>
    </row>
    <row r="279" spans="2:8" x14ac:dyDescent="0.25">
      <c r="B279" s="25">
        <v>34304</v>
      </c>
      <c r="C279" s="7">
        <v>3565.6</v>
      </c>
      <c r="D279" s="7">
        <v>3791.3</v>
      </c>
      <c r="E279" s="29">
        <f t="shared" si="8"/>
        <v>6.3299304464886769E-2</v>
      </c>
      <c r="F279" s="29">
        <f t="shared" si="9"/>
        <v>1.6827585946139311E-3</v>
      </c>
      <c r="G279" s="29">
        <f>F279+'Without VBA'!$F$12*_xlfn.STDEV.P($E$7:$E$374)</f>
        <v>0.16157057372050279</v>
      </c>
      <c r="H279" s="26">
        <f>F279-'Without VBA'!$F$12*_xlfn.STDEV.P($E$7:$E$374)</f>
        <v>-0.15820505653127495</v>
      </c>
    </row>
    <row r="280" spans="2:8" x14ac:dyDescent="0.25">
      <c r="B280" s="25">
        <v>34274</v>
      </c>
      <c r="C280" s="7">
        <v>3520.5</v>
      </c>
      <c r="D280" s="7">
        <v>3484.9</v>
      </c>
      <c r="E280" s="29">
        <f t="shared" si="8"/>
        <v>-1.0112199971594918E-2</v>
      </c>
      <c r="F280" s="29">
        <f t="shared" si="9"/>
        <v>1.6827585946139311E-3</v>
      </c>
      <c r="G280" s="29">
        <f>F280+'Without VBA'!$F$12*_xlfn.STDEV.P($E$7:$E$374)</f>
        <v>0.16157057372050279</v>
      </c>
      <c r="H280" s="26">
        <f>F280-'Without VBA'!$F$12*_xlfn.STDEV.P($E$7:$E$374)</f>
        <v>-0.15820505653127495</v>
      </c>
    </row>
    <row r="281" spans="2:8" x14ac:dyDescent="0.25">
      <c r="B281" s="25">
        <v>34243</v>
      </c>
      <c r="C281" s="7">
        <v>3426.7</v>
      </c>
      <c r="D281" s="7">
        <v>3528.1</v>
      </c>
      <c r="E281" s="29">
        <f t="shared" si="8"/>
        <v>2.9591151837044416E-2</v>
      </c>
      <c r="F281" s="29">
        <f t="shared" si="9"/>
        <v>1.6827585946139311E-3</v>
      </c>
      <c r="G281" s="29">
        <f>F281+'Without VBA'!$F$12*_xlfn.STDEV.P($E$7:$E$374)</f>
        <v>0.16157057372050279</v>
      </c>
      <c r="H281" s="26">
        <f>F281-'Without VBA'!$F$12*_xlfn.STDEV.P($E$7:$E$374)</f>
        <v>-0.15820505653127495</v>
      </c>
    </row>
    <row r="282" spans="2:8" x14ac:dyDescent="0.25">
      <c r="B282" s="25">
        <v>34213</v>
      </c>
      <c r="C282" s="7">
        <v>3495.7</v>
      </c>
      <c r="D282" s="7">
        <v>3433.2</v>
      </c>
      <c r="E282" s="29">
        <f t="shared" si="8"/>
        <v>-1.7879108619160686E-2</v>
      </c>
      <c r="F282" s="29">
        <f t="shared" si="9"/>
        <v>1.6827585946139311E-3</v>
      </c>
      <c r="G282" s="29">
        <f>F282+'Without VBA'!$F$12*_xlfn.STDEV.P($E$7:$E$374)</f>
        <v>0.16157057372050279</v>
      </c>
      <c r="H282" s="26">
        <f>F282-'Without VBA'!$F$12*_xlfn.STDEV.P($E$7:$E$374)</f>
        <v>-0.15820505653127495</v>
      </c>
    </row>
    <row r="283" spans="2:8" x14ac:dyDescent="0.25">
      <c r="B283" s="25">
        <v>34183</v>
      </c>
      <c r="C283" s="7">
        <v>3335.3</v>
      </c>
      <c r="D283" s="7">
        <v>3511.9</v>
      </c>
      <c r="E283" s="29">
        <f t="shared" si="8"/>
        <v>5.2948760231463408E-2</v>
      </c>
      <c r="F283" s="29">
        <f t="shared" si="9"/>
        <v>1.6827585946139311E-3</v>
      </c>
      <c r="G283" s="29">
        <f>F283+'Without VBA'!$F$12*_xlfn.STDEV.P($E$7:$E$374)</f>
        <v>0.16157057372050279</v>
      </c>
      <c r="H283" s="26">
        <f>F283-'Without VBA'!$F$12*_xlfn.STDEV.P($E$7:$E$374)</f>
        <v>-0.15820505653127495</v>
      </c>
    </row>
    <row r="284" spans="2:8" x14ac:dyDescent="0.25">
      <c r="B284" s="25">
        <v>34151</v>
      </c>
      <c r="C284" s="7">
        <v>3241.7</v>
      </c>
      <c r="D284" s="7">
        <v>3306.5</v>
      </c>
      <c r="E284" s="29">
        <f t="shared" si="8"/>
        <v>1.998951167597254E-2</v>
      </c>
      <c r="F284" s="29">
        <f t="shared" si="9"/>
        <v>1.6827585946139311E-3</v>
      </c>
      <c r="G284" s="29">
        <f>F284+'Without VBA'!$F$12*_xlfn.STDEV.P($E$7:$E$374)</f>
        <v>0.16157057372050279</v>
      </c>
      <c r="H284" s="26">
        <f>F284-'Without VBA'!$F$12*_xlfn.STDEV.P($E$7:$E$374)</f>
        <v>-0.15820505653127495</v>
      </c>
    </row>
    <row r="285" spans="2:8" x14ac:dyDescent="0.25">
      <c r="B285" s="25">
        <v>34121</v>
      </c>
      <c r="C285" s="7">
        <v>3166.3</v>
      </c>
      <c r="D285" s="7">
        <v>3235.7</v>
      </c>
      <c r="E285" s="29">
        <f t="shared" si="8"/>
        <v>2.1918327385276073E-2</v>
      </c>
      <c r="F285" s="29">
        <f t="shared" si="9"/>
        <v>1.6827585946139311E-3</v>
      </c>
      <c r="G285" s="29">
        <f>F285+'Without VBA'!$F$12*_xlfn.STDEV.P($E$7:$E$374)</f>
        <v>0.16157057372050279</v>
      </c>
      <c r="H285" s="26">
        <f>F285-'Without VBA'!$F$12*_xlfn.STDEV.P($E$7:$E$374)</f>
        <v>-0.15820505653127495</v>
      </c>
    </row>
    <row r="286" spans="2:8" x14ac:dyDescent="0.25">
      <c r="B286" s="25">
        <v>34092</v>
      </c>
      <c r="C286" s="7">
        <v>3132.1</v>
      </c>
      <c r="D286" s="7">
        <v>3165.4</v>
      </c>
      <c r="E286" s="29">
        <f t="shared" si="8"/>
        <v>1.0631844449410996E-2</v>
      </c>
      <c r="F286" s="29">
        <f t="shared" si="9"/>
        <v>1.6827585946139311E-3</v>
      </c>
      <c r="G286" s="29">
        <f>F286+'Without VBA'!$F$12*_xlfn.STDEV.P($E$7:$E$374)</f>
        <v>0.16157057372050279</v>
      </c>
      <c r="H286" s="26">
        <f>F286-'Without VBA'!$F$12*_xlfn.STDEV.P($E$7:$E$374)</f>
        <v>-0.15820505653127495</v>
      </c>
    </row>
    <row r="287" spans="2:8" x14ac:dyDescent="0.25">
      <c r="B287" s="25">
        <v>34060</v>
      </c>
      <c r="C287" s="7">
        <v>3107.2</v>
      </c>
      <c r="D287" s="7">
        <v>3132.1</v>
      </c>
      <c r="E287" s="29">
        <f t="shared" si="8"/>
        <v>8.0136457260556425E-3</v>
      </c>
      <c r="F287" s="29">
        <f t="shared" si="9"/>
        <v>1.6827585946139311E-3</v>
      </c>
      <c r="G287" s="29">
        <f>F287+'Without VBA'!$F$12*_xlfn.STDEV.P($E$7:$E$374)</f>
        <v>0.16157057372050279</v>
      </c>
      <c r="H287" s="26">
        <f>F287-'Without VBA'!$F$12*_xlfn.STDEV.P($E$7:$E$374)</f>
        <v>-0.15820505653127495</v>
      </c>
    </row>
    <row r="288" spans="2:8" x14ac:dyDescent="0.25">
      <c r="B288" s="25">
        <v>34029</v>
      </c>
      <c r="C288" s="7">
        <v>3049.7</v>
      </c>
      <c r="D288" s="7">
        <v>3107.8</v>
      </c>
      <c r="E288" s="29">
        <f t="shared" si="8"/>
        <v>1.9051054202052782E-2</v>
      </c>
      <c r="F288" s="29">
        <f t="shared" si="9"/>
        <v>1.6827585946139311E-3</v>
      </c>
      <c r="G288" s="29">
        <f>F288+'Without VBA'!$F$12*_xlfn.STDEV.P($E$7:$E$374)</f>
        <v>0.16157057372050279</v>
      </c>
      <c r="H288" s="26">
        <f>F288-'Without VBA'!$F$12*_xlfn.STDEV.P($E$7:$E$374)</f>
        <v>-0.15820505653127495</v>
      </c>
    </row>
    <row r="289" spans="2:8" x14ac:dyDescent="0.25">
      <c r="B289" s="25">
        <v>34001</v>
      </c>
      <c r="C289" s="7">
        <v>2988.8</v>
      </c>
      <c r="D289" s="7">
        <v>3036.1</v>
      </c>
      <c r="E289" s="29">
        <f t="shared" si="8"/>
        <v>1.5825749464668002E-2</v>
      </c>
      <c r="F289" s="29">
        <f t="shared" si="9"/>
        <v>1.6827585946139311E-3</v>
      </c>
      <c r="G289" s="29">
        <f>F289+'Without VBA'!$F$12*_xlfn.STDEV.P($E$7:$E$374)</f>
        <v>0.16157057372050279</v>
      </c>
      <c r="H289" s="26">
        <f>F289-'Without VBA'!$F$12*_xlfn.STDEV.P($E$7:$E$374)</f>
        <v>-0.15820505653127495</v>
      </c>
    </row>
    <row r="290" spans="2:8" x14ac:dyDescent="0.25">
      <c r="B290" s="25">
        <v>33970</v>
      </c>
      <c r="C290" s="7">
        <v>2862.9</v>
      </c>
      <c r="D290" s="7">
        <v>2954.8</v>
      </c>
      <c r="E290" s="29">
        <f t="shared" si="8"/>
        <v>3.210031785951311E-2</v>
      </c>
      <c r="F290" s="29">
        <f t="shared" si="9"/>
        <v>1.6827585946139311E-3</v>
      </c>
      <c r="G290" s="29">
        <f>F290+'Without VBA'!$F$12*_xlfn.STDEV.P($E$7:$E$374)</f>
        <v>0.16157057372050279</v>
      </c>
      <c r="H290" s="26">
        <f>F290-'Without VBA'!$F$12*_xlfn.STDEV.P($E$7:$E$374)</f>
        <v>-0.15820505653127495</v>
      </c>
    </row>
    <row r="291" spans="2:8" x14ac:dyDescent="0.25">
      <c r="B291" s="25">
        <v>33939</v>
      </c>
      <c r="C291" s="7">
        <v>2644.5</v>
      </c>
      <c r="D291" s="7">
        <v>2862.9</v>
      </c>
      <c r="E291" s="29">
        <f t="shared" si="8"/>
        <v>8.258650028360752E-2</v>
      </c>
      <c r="F291" s="29">
        <f t="shared" si="9"/>
        <v>1.6827585946139311E-3</v>
      </c>
      <c r="G291" s="29">
        <f>F291+'Without VBA'!$F$12*_xlfn.STDEV.P($E$7:$E$374)</f>
        <v>0.16157057372050279</v>
      </c>
      <c r="H291" s="26">
        <f>F291-'Without VBA'!$F$12*_xlfn.STDEV.P($E$7:$E$374)</f>
        <v>-0.15820505653127495</v>
      </c>
    </row>
    <row r="292" spans="2:8" x14ac:dyDescent="0.25">
      <c r="B292" s="25">
        <v>33910</v>
      </c>
      <c r="C292" s="7">
        <v>2541.9</v>
      </c>
      <c r="D292" s="7">
        <v>2637.5</v>
      </c>
      <c r="E292" s="29">
        <f t="shared" si="8"/>
        <v>3.7609662063810501E-2</v>
      </c>
      <c r="F292" s="29">
        <f t="shared" si="9"/>
        <v>1.6827585946139311E-3</v>
      </c>
      <c r="G292" s="29">
        <f>F292+'Without VBA'!$F$12*_xlfn.STDEV.P($E$7:$E$374)</f>
        <v>0.16157057372050279</v>
      </c>
      <c r="H292" s="26">
        <f>F292-'Without VBA'!$F$12*_xlfn.STDEV.P($E$7:$E$374)</f>
        <v>-0.15820505653127495</v>
      </c>
    </row>
    <row r="293" spans="2:8" x14ac:dyDescent="0.25">
      <c r="B293" s="25">
        <v>33878</v>
      </c>
      <c r="C293" s="7">
        <v>2403.6</v>
      </c>
      <c r="D293" s="7">
        <v>2521.6</v>
      </c>
      <c r="E293" s="29">
        <f t="shared" si="8"/>
        <v>4.9093027125977705E-2</v>
      </c>
      <c r="F293" s="29">
        <f t="shared" si="9"/>
        <v>1.6827585946139311E-3</v>
      </c>
      <c r="G293" s="29">
        <f>F293+'Without VBA'!$F$12*_xlfn.STDEV.P($E$7:$E$374)</f>
        <v>0.16157057372050279</v>
      </c>
      <c r="H293" s="26">
        <f>F293-'Without VBA'!$F$12*_xlfn.STDEV.P($E$7:$E$374)</f>
        <v>-0.15820505653127495</v>
      </c>
    </row>
    <row r="294" spans="2:8" x14ac:dyDescent="0.25">
      <c r="B294" s="25">
        <v>33848</v>
      </c>
      <c r="C294" s="7">
        <v>2174.4</v>
      </c>
      <c r="D294" s="7">
        <v>2398.6999999999998</v>
      </c>
      <c r="E294" s="29">
        <f t="shared" si="8"/>
        <v>0.10315489330389979</v>
      </c>
      <c r="F294" s="29">
        <f t="shared" si="9"/>
        <v>1.6827585946139311E-3</v>
      </c>
      <c r="G294" s="29">
        <f>F294+'Without VBA'!$F$12*_xlfn.STDEV.P($E$7:$E$374)</f>
        <v>0.16157057372050279</v>
      </c>
      <c r="H294" s="26">
        <f>F294-'Without VBA'!$F$12*_xlfn.STDEV.P($E$7:$E$374)</f>
        <v>-0.15820505653127495</v>
      </c>
    </row>
    <row r="295" spans="2:8" x14ac:dyDescent="0.25">
      <c r="B295" s="25">
        <v>33819</v>
      </c>
      <c r="C295" s="7">
        <v>2311.8000000000002</v>
      </c>
      <c r="D295" s="7">
        <v>2193.6</v>
      </c>
      <c r="E295" s="29">
        <f t="shared" si="8"/>
        <v>-5.1128990397093288E-2</v>
      </c>
      <c r="F295" s="29">
        <f t="shared" si="9"/>
        <v>1.6827585946139311E-3</v>
      </c>
      <c r="G295" s="29">
        <f>F295+'Without VBA'!$F$12*_xlfn.STDEV.P($E$7:$E$374)</f>
        <v>0.16157057372050279</v>
      </c>
      <c r="H295" s="26">
        <f>F295-'Without VBA'!$F$12*_xlfn.STDEV.P($E$7:$E$374)</f>
        <v>-0.15820505653127495</v>
      </c>
    </row>
    <row r="296" spans="2:8" x14ac:dyDescent="0.25">
      <c r="B296" s="25">
        <v>33786</v>
      </c>
      <c r="C296" s="7">
        <v>2527.9</v>
      </c>
      <c r="D296" s="7">
        <v>2303.1999999999998</v>
      </c>
      <c r="E296" s="29">
        <f t="shared" si="8"/>
        <v>-8.8888009810514756E-2</v>
      </c>
      <c r="F296" s="29">
        <f t="shared" si="9"/>
        <v>1.6827585946139311E-3</v>
      </c>
      <c r="G296" s="29">
        <f>F296+'Without VBA'!$F$12*_xlfn.STDEV.P($E$7:$E$374)</f>
        <v>0.16157057372050279</v>
      </c>
      <c r="H296" s="26">
        <f>F296-'Without VBA'!$F$12*_xlfn.STDEV.P($E$7:$E$374)</f>
        <v>-0.15820505653127495</v>
      </c>
    </row>
    <row r="297" spans="2:8" x14ac:dyDescent="0.25">
      <c r="B297" s="25">
        <v>33756</v>
      </c>
      <c r="C297" s="7">
        <v>2771.3</v>
      </c>
      <c r="D297" s="7">
        <v>2549.3000000000002</v>
      </c>
      <c r="E297" s="29">
        <f t="shared" si="8"/>
        <v>-8.0106809078771685E-2</v>
      </c>
      <c r="F297" s="29">
        <f t="shared" si="9"/>
        <v>1.6827585946139311E-3</v>
      </c>
      <c r="G297" s="29">
        <f>F297+'Without VBA'!$F$12*_xlfn.STDEV.P($E$7:$E$374)</f>
        <v>0.16157057372050279</v>
      </c>
      <c r="H297" s="26">
        <f>F297-'Without VBA'!$F$12*_xlfn.STDEV.P($E$7:$E$374)</f>
        <v>-0.15820505653127495</v>
      </c>
    </row>
    <row r="298" spans="2:8" x14ac:dyDescent="0.25">
      <c r="B298" s="25">
        <v>33725</v>
      </c>
      <c r="C298" s="7">
        <v>2724.8</v>
      </c>
      <c r="D298" s="7">
        <v>2780</v>
      </c>
      <c r="E298" s="29">
        <f t="shared" si="8"/>
        <v>2.0258367586611793E-2</v>
      </c>
      <c r="F298" s="29">
        <f t="shared" si="9"/>
        <v>1.6827585946139311E-3</v>
      </c>
      <c r="G298" s="29">
        <f>F298+'Without VBA'!$F$12*_xlfn.STDEV.P($E$7:$E$374)</f>
        <v>0.16157057372050279</v>
      </c>
      <c r="H298" s="26">
        <f>F298-'Without VBA'!$F$12*_xlfn.STDEV.P($E$7:$E$374)</f>
        <v>-0.15820505653127495</v>
      </c>
    </row>
    <row r="299" spans="2:8" x14ac:dyDescent="0.25">
      <c r="B299" s="25">
        <v>33695</v>
      </c>
      <c r="C299" s="7">
        <v>2355.4</v>
      </c>
      <c r="D299" s="7">
        <v>2712.6</v>
      </c>
      <c r="E299" s="29">
        <f t="shared" si="8"/>
        <v>0.15165152415725558</v>
      </c>
      <c r="F299" s="29">
        <f t="shared" si="9"/>
        <v>1.6827585946139311E-3</v>
      </c>
      <c r="G299" s="29">
        <f>F299+'Without VBA'!$F$12*_xlfn.STDEV.P($E$7:$E$374)</f>
        <v>0.16157057372050279</v>
      </c>
      <c r="H299" s="26">
        <f>F299-'Without VBA'!$F$12*_xlfn.STDEV.P($E$7:$E$374)</f>
        <v>-0.15820505653127495</v>
      </c>
    </row>
    <row r="300" spans="2:8" x14ac:dyDescent="0.25">
      <c r="B300" s="25">
        <v>33665</v>
      </c>
      <c r="C300" s="7">
        <v>2515.5</v>
      </c>
      <c r="D300" s="7">
        <v>2406.5</v>
      </c>
      <c r="E300" s="29">
        <f t="shared" si="8"/>
        <v>-4.3331345656927055E-2</v>
      </c>
      <c r="F300" s="29">
        <f t="shared" si="9"/>
        <v>1.6827585946139311E-3</v>
      </c>
      <c r="G300" s="29">
        <f>F300+'Without VBA'!$F$12*_xlfn.STDEV.P($E$7:$E$374)</f>
        <v>0.16157057372050279</v>
      </c>
      <c r="H300" s="26">
        <f>F300-'Without VBA'!$F$12*_xlfn.STDEV.P($E$7:$E$374)</f>
        <v>-0.15820505653127495</v>
      </c>
    </row>
    <row r="301" spans="2:8" x14ac:dyDescent="0.25">
      <c r="B301" s="25">
        <v>33637</v>
      </c>
      <c r="C301" s="7">
        <v>2469.8000000000002</v>
      </c>
      <c r="D301" s="7">
        <v>2522.1999999999998</v>
      </c>
      <c r="E301" s="29">
        <f t="shared" si="8"/>
        <v>2.1216292817232016E-2</v>
      </c>
      <c r="F301" s="29">
        <f t="shared" si="9"/>
        <v>1.6827585946139311E-3</v>
      </c>
      <c r="G301" s="29">
        <f>F301+'Without VBA'!$F$12*_xlfn.STDEV.P($E$7:$E$374)</f>
        <v>0.16157057372050279</v>
      </c>
      <c r="H301" s="26">
        <f>F301-'Without VBA'!$F$12*_xlfn.STDEV.P($E$7:$E$374)</f>
        <v>-0.15820505653127495</v>
      </c>
    </row>
    <row r="302" spans="2:8" x14ac:dyDescent="0.25">
      <c r="B302" s="25">
        <v>33604</v>
      </c>
      <c r="C302" s="7">
        <v>2364.8000000000002</v>
      </c>
      <c r="D302" s="7">
        <v>2474.4</v>
      </c>
      <c r="E302" s="29">
        <f t="shared" si="8"/>
        <v>4.6346414073071676E-2</v>
      </c>
      <c r="F302" s="29">
        <f t="shared" si="9"/>
        <v>1.6827585946139311E-3</v>
      </c>
      <c r="G302" s="29">
        <f>F302+'Without VBA'!$F$12*_xlfn.STDEV.P($E$7:$E$374)</f>
        <v>0.16157057372050279</v>
      </c>
      <c r="H302" s="26">
        <f>F302-'Without VBA'!$F$12*_xlfn.STDEV.P($E$7:$E$374)</f>
        <v>-0.15820505653127495</v>
      </c>
    </row>
    <row r="303" spans="2:8" x14ac:dyDescent="0.25">
      <c r="B303" s="25">
        <v>33574</v>
      </c>
      <c r="C303" s="7">
        <v>2387.6</v>
      </c>
      <c r="D303" s="7">
        <v>2364.8000000000002</v>
      </c>
      <c r="E303" s="29">
        <f t="shared" si="8"/>
        <v>-9.5493382476125512E-3</v>
      </c>
      <c r="F303" s="29">
        <f t="shared" si="9"/>
        <v>1.6827585946139311E-3</v>
      </c>
      <c r="G303" s="29">
        <f>F303+'Without VBA'!$F$12*_xlfn.STDEV.P($E$7:$E$374)</f>
        <v>0.16157057372050279</v>
      </c>
      <c r="H303" s="26">
        <f>F303-'Without VBA'!$F$12*_xlfn.STDEV.P($E$7:$E$374)</f>
        <v>-0.15820505653127495</v>
      </c>
    </row>
    <row r="304" spans="2:8" x14ac:dyDescent="0.25">
      <c r="B304" s="25">
        <v>33543</v>
      </c>
      <c r="C304" s="7">
        <v>2556.6999999999998</v>
      </c>
      <c r="D304" s="7">
        <v>2405.8000000000002</v>
      </c>
      <c r="E304" s="29">
        <f t="shared" si="8"/>
        <v>-5.9021394766691299E-2</v>
      </c>
      <c r="F304" s="29">
        <f t="shared" si="9"/>
        <v>1.6827585946139311E-3</v>
      </c>
      <c r="G304" s="29">
        <f>F304+'Without VBA'!$F$12*_xlfn.STDEV.P($E$7:$E$374)</f>
        <v>0.16157057372050279</v>
      </c>
      <c r="H304" s="26">
        <f>F304-'Without VBA'!$F$12*_xlfn.STDEV.P($E$7:$E$374)</f>
        <v>-0.15820505653127495</v>
      </c>
    </row>
    <row r="305" spans="2:8" x14ac:dyDescent="0.25">
      <c r="B305" s="25">
        <v>33512</v>
      </c>
      <c r="C305" s="7">
        <v>2636.9</v>
      </c>
      <c r="D305" s="7">
        <v>2561.1999999999998</v>
      </c>
      <c r="E305" s="29">
        <f t="shared" si="8"/>
        <v>-2.8707952520004652E-2</v>
      </c>
      <c r="F305" s="29">
        <f t="shared" si="9"/>
        <v>1.6827585946139311E-3</v>
      </c>
      <c r="G305" s="29">
        <f>F305+'Without VBA'!$F$12*_xlfn.STDEV.P($E$7:$E$374)</f>
        <v>0.16157057372050279</v>
      </c>
      <c r="H305" s="26">
        <f>F305-'Without VBA'!$F$12*_xlfn.STDEV.P($E$7:$E$374)</f>
        <v>-0.15820505653127495</v>
      </c>
    </row>
    <row r="306" spans="2:8" x14ac:dyDescent="0.25">
      <c r="B306" s="25">
        <v>33483</v>
      </c>
      <c r="C306" s="7">
        <v>2626.5</v>
      </c>
      <c r="D306" s="7">
        <v>2626.8</v>
      </c>
      <c r="E306" s="29">
        <f t="shared" si="8"/>
        <v>1.1422044545980655E-4</v>
      </c>
      <c r="F306" s="29">
        <f t="shared" si="9"/>
        <v>1.6827585946139311E-3</v>
      </c>
      <c r="G306" s="29">
        <f>F306+'Without VBA'!$F$12*_xlfn.STDEV.P($E$7:$E$374)</f>
        <v>0.16157057372050279</v>
      </c>
      <c r="H306" s="26">
        <f>F306-'Without VBA'!$F$12*_xlfn.STDEV.P($E$7:$E$374)</f>
        <v>-0.15820505653127495</v>
      </c>
    </row>
    <row r="307" spans="2:8" x14ac:dyDescent="0.25">
      <c r="B307" s="25">
        <v>33451</v>
      </c>
      <c r="C307" s="7">
        <v>2504.5</v>
      </c>
      <c r="D307" s="7">
        <v>2602.1999999999998</v>
      </c>
      <c r="E307" s="29">
        <f t="shared" si="8"/>
        <v>3.9009782391694878E-2</v>
      </c>
      <c r="F307" s="29">
        <f t="shared" si="9"/>
        <v>1.6827585946139311E-3</v>
      </c>
      <c r="G307" s="29">
        <f>F307+'Without VBA'!$F$12*_xlfn.STDEV.P($E$7:$E$374)</f>
        <v>0.16157057372050279</v>
      </c>
      <c r="H307" s="26">
        <f>F307-'Without VBA'!$F$12*_xlfn.STDEV.P($E$7:$E$374)</f>
        <v>-0.15820505653127495</v>
      </c>
    </row>
    <row r="308" spans="2:8" x14ac:dyDescent="0.25">
      <c r="B308" s="25">
        <v>33420</v>
      </c>
      <c r="C308" s="7">
        <v>2382.8000000000002</v>
      </c>
      <c r="D308" s="7">
        <v>2499.1999999999998</v>
      </c>
      <c r="E308" s="29">
        <f t="shared" si="8"/>
        <v>4.8850092328353044E-2</v>
      </c>
      <c r="F308" s="29">
        <f t="shared" si="9"/>
        <v>1.6827585946139311E-3</v>
      </c>
      <c r="G308" s="29">
        <f>F308+'Without VBA'!$F$12*_xlfn.STDEV.P($E$7:$E$374)</f>
        <v>0.16157057372050279</v>
      </c>
      <c r="H308" s="26">
        <f>F308-'Without VBA'!$F$12*_xlfn.STDEV.P($E$7:$E$374)</f>
        <v>-0.15820505653127495</v>
      </c>
    </row>
    <row r="309" spans="2:8" x14ac:dyDescent="0.25">
      <c r="B309" s="25">
        <v>33392</v>
      </c>
      <c r="C309" s="7">
        <v>2465.3000000000002</v>
      </c>
      <c r="D309" s="7">
        <v>2375.1999999999998</v>
      </c>
      <c r="E309" s="29">
        <f t="shared" si="8"/>
        <v>-3.6547276193566854E-2</v>
      </c>
      <c r="F309" s="29">
        <f t="shared" si="9"/>
        <v>1.6827585946139311E-3</v>
      </c>
      <c r="G309" s="29">
        <f>F309+'Without VBA'!$F$12*_xlfn.STDEV.P($E$7:$E$374)</f>
        <v>0.16157057372050279</v>
      </c>
      <c r="H309" s="26">
        <f>F309-'Without VBA'!$F$12*_xlfn.STDEV.P($E$7:$E$374)</f>
        <v>-0.15820505653127495</v>
      </c>
    </row>
    <row r="310" spans="2:8" x14ac:dyDescent="0.25">
      <c r="B310" s="25">
        <v>33359</v>
      </c>
      <c r="C310" s="7">
        <v>2506.3000000000002</v>
      </c>
      <c r="D310" s="7">
        <v>2458.5</v>
      </c>
      <c r="E310" s="29">
        <f t="shared" si="8"/>
        <v>-1.9071938714439685E-2</v>
      </c>
      <c r="F310" s="29">
        <f t="shared" si="9"/>
        <v>1.6827585946139311E-3</v>
      </c>
      <c r="G310" s="29">
        <f>F310+'Without VBA'!$F$12*_xlfn.STDEV.P($E$7:$E$374)</f>
        <v>0.16157057372050279</v>
      </c>
      <c r="H310" s="26">
        <f>F310-'Without VBA'!$F$12*_xlfn.STDEV.P($E$7:$E$374)</f>
        <v>-0.15820505653127495</v>
      </c>
    </row>
    <row r="311" spans="2:8" x14ac:dyDescent="0.25">
      <c r="B311" s="25">
        <v>33329</v>
      </c>
      <c r="C311" s="7">
        <v>2512</v>
      </c>
      <c r="D311" s="7">
        <v>2499.5</v>
      </c>
      <c r="E311" s="29">
        <f t="shared" si="8"/>
        <v>-4.9761146496815284E-3</v>
      </c>
      <c r="F311" s="29">
        <f t="shared" si="9"/>
        <v>1.6827585946139311E-3</v>
      </c>
      <c r="G311" s="29">
        <f>F311+'Without VBA'!$F$12*_xlfn.STDEV.P($E$7:$E$374)</f>
        <v>0.16157057372050279</v>
      </c>
      <c r="H311" s="26">
        <f>F311-'Without VBA'!$F$12*_xlfn.STDEV.P($E$7:$E$374)</f>
        <v>-0.15820505653127495</v>
      </c>
    </row>
    <row r="312" spans="2:8" x14ac:dyDescent="0.25">
      <c r="B312" s="25">
        <v>33298</v>
      </c>
      <c r="C312" s="7">
        <v>2416.6999999999998</v>
      </c>
      <c r="D312" s="7">
        <v>2512</v>
      </c>
      <c r="E312" s="29">
        <f t="shared" si="8"/>
        <v>3.9433938842222946E-2</v>
      </c>
      <c r="F312" s="29">
        <f t="shared" si="9"/>
        <v>1.6827585946139311E-3</v>
      </c>
      <c r="G312" s="29">
        <f>F312+'Without VBA'!$F$12*_xlfn.STDEV.P($E$7:$E$374)</f>
        <v>0.16157057372050279</v>
      </c>
      <c r="H312" s="26">
        <f>F312-'Without VBA'!$F$12*_xlfn.STDEV.P($E$7:$E$374)</f>
        <v>-0.15820505653127495</v>
      </c>
    </row>
    <row r="313" spans="2:8" x14ac:dyDescent="0.25">
      <c r="B313" s="25">
        <v>33270</v>
      </c>
      <c r="C313" s="7">
        <v>2104.1999999999998</v>
      </c>
      <c r="D313" s="7">
        <v>2401.5</v>
      </c>
      <c r="E313" s="29">
        <f t="shared" si="8"/>
        <v>0.14128885086968929</v>
      </c>
      <c r="F313" s="29">
        <f t="shared" si="9"/>
        <v>1.6827585946139311E-3</v>
      </c>
      <c r="G313" s="29">
        <f>F313+'Without VBA'!$F$12*_xlfn.STDEV.P($E$7:$E$374)</f>
        <v>0.16157057372050279</v>
      </c>
      <c r="H313" s="26">
        <f>F313-'Without VBA'!$F$12*_xlfn.STDEV.P($E$7:$E$374)</f>
        <v>-0.15820505653127495</v>
      </c>
    </row>
    <row r="314" spans="2:8" x14ac:dyDescent="0.25">
      <c r="B314" s="25">
        <v>33239</v>
      </c>
      <c r="C314" s="7">
        <v>2127.4</v>
      </c>
      <c r="D314" s="7">
        <v>2096.1</v>
      </c>
      <c r="E314" s="29">
        <f t="shared" si="8"/>
        <v>-1.4712794960985326E-2</v>
      </c>
      <c r="F314" s="29">
        <f t="shared" si="9"/>
        <v>1.6827585946139311E-3</v>
      </c>
      <c r="G314" s="29">
        <f>F314+'Without VBA'!$F$12*_xlfn.STDEV.P($E$7:$E$374)</f>
        <v>0.16157057372050279</v>
      </c>
      <c r="H314" s="26">
        <f>F314-'Without VBA'!$F$12*_xlfn.STDEV.P($E$7:$E$374)</f>
        <v>-0.15820505653127495</v>
      </c>
    </row>
    <row r="315" spans="2:8" x14ac:dyDescent="0.25">
      <c r="B315" s="25">
        <v>33210</v>
      </c>
      <c r="C315" s="7">
        <v>2124.8000000000002</v>
      </c>
      <c r="D315" s="7">
        <v>2127.4</v>
      </c>
      <c r="E315" s="29">
        <f t="shared" si="8"/>
        <v>1.2236445783132101E-3</v>
      </c>
      <c r="F315" s="29">
        <f t="shared" si="9"/>
        <v>1.6827585946139311E-3</v>
      </c>
      <c r="G315" s="29">
        <f>F315+'Without VBA'!$F$12*_xlfn.STDEV.P($E$7:$E$374)</f>
        <v>0.16157057372050279</v>
      </c>
      <c r="H315" s="26">
        <f>F315-'Without VBA'!$F$12*_xlfn.STDEV.P($E$7:$E$374)</f>
        <v>-0.15820505653127495</v>
      </c>
    </row>
    <row r="316" spans="2:8" x14ac:dyDescent="0.25">
      <c r="B316" s="25">
        <v>33178</v>
      </c>
      <c r="C316" s="7">
        <v>2045.5</v>
      </c>
      <c r="D316" s="7">
        <v>2106.9</v>
      </c>
      <c r="E316" s="29">
        <f t="shared" si="8"/>
        <v>3.0017110730872692E-2</v>
      </c>
      <c r="F316" s="29">
        <f t="shared" si="9"/>
        <v>1.6827585946139311E-3</v>
      </c>
      <c r="G316" s="29">
        <f>F316+'Without VBA'!$F$12*_xlfn.STDEV.P($E$7:$E$374)</f>
        <v>0.16157057372050279</v>
      </c>
      <c r="H316" s="26">
        <f>F316-'Without VBA'!$F$12*_xlfn.STDEV.P($E$7:$E$374)</f>
        <v>-0.15820505653127495</v>
      </c>
    </row>
    <row r="317" spans="2:8" x14ac:dyDescent="0.25">
      <c r="B317" s="25">
        <v>33147</v>
      </c>
      <c r="C317" s="7">
        <v>1993.2</v>
      </c>
      <c r="D317" s="7">
        <v>2065.4</v>
      </c>
      <c r="E317" s="29">
        <f t="shared" si="8"/>
        <v>3.6223158739715051E-2</v>
      </c>
      <c r="F317" s="29">
        <f t="shared" si="9"/>
        <v>1.6827585946139311E-3</v>
      </c>
      <c r="G317" s="29">
        <f>F317+'Without VBA'!$F$12*_xlfn.STDEV.P($E$7:$E$374)</f>
        <v>0.16157057372050279</v>
      </c>
      <c r="H317" s="26">
        <f>F317-'Without VBA'!$F$12*_xlfn.STDEV.P($E$7:$E$374)</f>
        <v>-0.15820505653127495</v>
      </c>
    </row>
    <row r="318" spans="2:8" x14ac:dyDescent="0.25">
      <c r="B318" s="25">
        <v>33119</v>
      </c>
      <c r="C318" s="7">
        <v>2187.1</v>
      </c>
      <c r="D318" s="7">
        <v>1974</v>
      </c>
      <c r="E318" s="29">
        <f t="shared" si="8"/>
        <v>-9.7434959535457874E-2</v>
      </c>
      <c r="F318" s="29">
        <f t="shared" si="9"/>
        <v>1.6827585946139311E-3</v>
      </c>
      <c r="G318" s="29">
        <f>F318+'Without VBA'!$F$12*_xlfn.STDEV.P($E$7:$E$374)</f>
        <v>0.16157057372050279</v>
      </c>
      <c r="H318" s="26">
        <f>F318-'Without VBA'!$F$12*_xlfn.STDEV.P($E$7:$E$374)</f>
        <v>-0.15820505653127495</v>
      </c>
    </row>
    <row r="319" spans="2:8" x14ac:dyDescent="0.25">
      <c r="B319" s="25">
        <v>33086</v>
      </c>
      <c r="C319" s="7">
        <v>2480.6</v>
      </c>
      <c r="D319" s="7">
        <v>2187.8000000000002</v>
      </c>
      <c r="E319" s="29">
        <f t="shared" si="8"/>
        <v>-0.11803595904216711</v>
      </c>
      <c r="F319" s="29">
        <f t="shared" si="9"/>
        <v>1.6827585946139311E-3</v>
      </c>
      <c r="G319" s="29">
        <f>F319+'Without VBA'!$F$12*_xlfn.STDEV.P($E$7:$E$374)</f>
        <v>0.16157057372050279</v>
      </c>
      <c r="H319" s="26">
        <f>F319-'Without VBA'!$F$12*_xlfn.STDEV.P($E$7:$E$374)</f>
        <v>-0.15820505653127495</v>
      </c>
    </row>
    <row r="320" spans="2:8" x14ac:dyDescent="0.25">
      <c r="B320" s="25">
        <v>33056</v>
      </c>
      <c r="C320" s="7">
        <v>2538.1999999999998</v>
      </c>
      <c r="D320" s="7">
        <v>2481.8000000000002</v>
      </c>
      <c r="E320" s="29">
        <f t="shared" si="8"/>
        <v>-2.2220471200062895E-2</v>
      </c>
      <c r="F320" s="29">
        <f t="shared" si="9"/>
        <v>1.6827585946139311E-3</v>
      </c>
      <c r="G320" s="29">
        <f>F320+'Without VBA'!$F$12*_xlfn.STDEV.P($E$7:$E$374)</f>
        <v>0.16157057372050279</v>
      </c>
      <c r="H320" s="26">
        <f>F320-'Without VBA'!$F$12*_xlfn.STDEV.P($E$7:$E$374)</f>
        <v>-0.15820505653127495</v>
      </c>
    </row>
    <row r="321" spans="2:8" x14ac:dyDescent="0.25">
      <c r="B321" s="25">
        <v>33025</v>
      </c>
      <c r="C321" s="7">
        <v>2501.1</v>
      </c>
      <c r="D321" s="7">
        <v>2540.1999999999998</v>
      </c>
      <c r="E321" s="29">
        <f t="shared" si="8"/>
        <v>1.5633121426572274E-2</v>
      </c>
      <c r="F321" s="29">
        <f t="shared" si="9"/>
        <v>1.6827585946139311E-3</v>
      </c>
      <c r="G321" s="29">
        <f>F321+'Without VBA'!$F$12*_xlfn.STDEV.P($E$7:$E$374)</f>
        <v>0.16157057372050279</v>
      </c>
      <c r="H321" s="26">
        <f>F321-'Without VBA'!$F$12*_xlfn.STDEV.P($E$7:$E$374)</f>
        <v>-0.15820505653127495</v>
      </c>
    </row>
    <row r="322" spans="2:8" x14ac:dyDescent="0.25">
      <c r="B322" s="25">
        <v>32994</v>
      </c>
      <c r="C322" s="7">
        <v>2293.6</v>
      </c>
      <c r="D322" s="7">
        <v>2487.8000000000002</v>
      </c>
      <c r="E322" s="29">
        <f t="shared" si="8"/>
        <v>8.4670387164283351E-2</v>
      </c>
      <c r="F322" s="29">
        <f t="shared" si="9"/>
        <v>1.6827585946139311E-3</v>
      </c>
      <c r="G322" s="29">
        <f>F322+'Without VBA'!$F$12*_xlfn.STDEV.P($E$7:$E$374)</f>
        <v>0.16157057372050279</v>
      </c>
      <c r="H322" s="26">
        <f>F322-'Without VBA'!$F$12*_xlfn.STDEV.P($E$7:$E$374)</f>
        <v>-0.15820505653127495</v>
      </c>
    </row>
    <row r="323" spans="2:8" x14ac:dyDescent="0.25">
      <c r="B323" s="25">
        <v>32965</v>
      </c>
      <c r="C323" s="7">
        <v>2419.1999999999998</v>
      </c>
      <c r="D323" s="7">
        <v>2285.8000000000002</v>
      </c>
      <c r="E323" s="29">
        <f t="shared" si="8"/>
        <v>-5.5142195767195618E-2</v>
      </c>
      <c r="F323" s="29">
        <f t="shared" si="9"/>
        <v>1.6827585946139311E-3</v>
      </c>
      <c r="G323" s="29">
        <f>F323+'Without VBA'!$F$12*_xlfn.STDEV.P($E$7:$E$374)</f>
        <v>0.16157057372050279</v>
      </c>
      <c r="H323" s="26">
        <f>F323-'Without VBA'!$F$12*_xlfn.STDEV.P($E$7:$E$374)</f>
        <v>-0.15820505653127495</v>
      </c>
    </row>
    <row r="324" spans="2:8" x14ac:dyDescent="0.25">
      <c r="B324" s="25">
        <v>32933</v>
      </c>
      <c r="C324" s="7">
        <v>2448.4</v>
      </c>
      <c r="D324" s="7">
        <v>2437.4</v>
      </c>
      <c r="E324" s="29">
        <f t="shared" si="8"/>
        <v>-4.4927299460872407E-3</v>
      </c>
      <c r="F324" s="29">
        <f t="shared" si="9"/>
        <v>1.6827585946139311E-3</v>
      </c>
      <c r="G324" s="29">
        <f>F324+'Without VBA'!$F$12*_xlfn.STDEV.P($E$7:$E$374)</f>
        <v>0.16157057372050279</v>
      </c>
      <c r="H324" s="26">
        <f>F324-'Without VBA'!$F$12*_xlfn.STDEV.P($E$7:$E$374)</f>
        <v>-0.15820505653127495</v>
      </c>
    </row>
    <row r="325" spans="2:8" x14ac:dyDescent="0.25">
      <c r="B325" s="25">
        <v>32905</v>
      </c>
      <c r="C325" s="7">
        <v>2595.8000000000002</v>
      </c>
      <c r="D325" s="7">
        <v>2463.9</v>
      </c>
      <c r="E325" s="29">
        <f t="shared" si="8"/>
        <v>-5.0812851529393667E-2</v>
      </c>
      <c r="F325" s="29">
        <f t="shared" si="9"/>
        <v>1.6827585946139311E-3</v>
      </c>
      <c r="G325" s="29">
        <f>F325+'Without VBA'!$F$12*_xlfn.STDEV.P($E$7:$E$374)</f>
        <v>0.16157057372050279</v>
      </c>
      <c r="H325" s="26">
        <f>F325-'Without VBA'!$F$12*_xlfn.STDEV.P($E$7:$E$374)</f>
        <v>-0.15820505653127495</v>
      </c>
    </row>
    <row r="326" spans="2:8" x14ac:dyDescent="0.25">
      <c r="B326" s="25">
        <v>32874</v>
      </c>
      <c r="C326" s="7">
        <v>2661.8</v>
      </c>
      <c r="D326" s="7">
        <v>2591.1</v>
      </c>
      <c r="E326" s="29">
        <f t="shared" si="8"/>
        <v>-2.6560973777143386E-2</v>
      </c>
      <c r="F326" s="29">
        <f t="shared" si="9"/>
        <v>1.6827585946139311E-3</v>
      </c>
      <c r="G326" s="29">
        <f>F326+'Without VBA'!$F$12*_xlfn.STDEV.P($E$7:$E$374)</f>
        <v>0.16157057372050279</v>
      </c>
      <c r="H326" s="26">
        <f>F326-'Without VBA'!$F$12*_xlfn.STDEV.P($E$7:$E$374)</f>
        <v>-0.15820505653127495</v>
      </c>
    </row>
    <row r="327" spans="2:8" x14ac:dyDescent="0.25">
      <c r="B327" s="25">
        <v>32843</v>
      </c>
      <c r="C327" s="7">
        <v>2563.5</v>
      </c>
      <c r="D327" s="7">
        <v>2661.8</v>
      </c>
      <c r="E327" s="29">
        <f t="shared" ref="E327:E390" si="10">(D327-C327)/C327</f>
        <v>3.8346011312658544E-2</v>
      </c>
      <c r="F327" s="29">
        <f t="shared" ref="F327:F374" si="11">AVERAGE($E$7:$E$374)</f>
        <v>1.6827585946139311E-3</v>
      </c>
      <c r="G327" s="29">
        <f>F327+'Without VBA'!$F$12*_xlfn.STDEV.P($E$7:$E$374)</f>
        <v>0.16157057372050279</v>
      </c>
      <c r="H327" s="26">
        <f>F327-'Without VBA'!$F$12*_xlfn.STDEV.P($E$7:$E$374)</f>
        <v>-0.15820505653127495</v>
      </c>
    </row>
    <row r="328" spans="2:8" x14ac:dyDescent="0.25">
      <c r="B328" s="25">
        <v>32813</v>
      </c>
      <c r="C328" s="7">
        <v>2474.1999999999998</v>
      </c>
      <c r="D328" s="7">
        <v>2546</v>
      </c>
      <c r="E328" s="29">
        <f t="shared" si="10"/>
        <v>2.9019481044378057E-2</v>
      </c>
      <c r="F328" s="29">
        <f t="shared" si="11"/>
        <v>1.6827585946139311E-3</v>
      </c>
      <c r="G328" s="29">
        <f>F328+'Without VBA'!$F$12*_xlfn.STDEV.P($E$7:$E$374)</f>
        <v>0.16157057372050279</v>
      </c>
      <c r="H328" s="26">
        <f>F328-'Without VBA'!$F$12*_xlfn.STDEV.P($E$7:$E$374)</f>
        <v>-0.15820505653127495</v>
      </c>
    </row>
    <row r="329" spans="2:8" x14ac:dyDescent="0.25">
      <c r="B329" s="25">
        <v>32783</v>
      </c>
      <c r="C329" s="7">
        <v>2681</v>
      </c>
      <c r="D329" s="7">
        <v>2458.8000000000002</v>
      </c>
      <c r="E329" s="29">
        <f t="shared" si="10"/>
        <v>-8.2879522566206565E-2</v>
      </c>
      <c r="F329" s="29">
        <f t="shared" si="11"/>
        <v>1.6827585946139311E-3</v>
      </c>
      <c r="G329" s="29">
        <f>F329+'Without VBA'!$F$12*_xlfn.STDEV.P($E$7:$E$374)</f>
        <v>0.16157057372050279</v>
      </c>
      <c r="H329" s="26">
        <f>F329-'Without VBA'!$F$12*_xlfn.STDEV.P($E$7:$E$374)</f>
        <v>-0.15820505653127495</v>
      </c>
    </row>
    <row r="330" spans="2:8" x14ac:dyDescent="0.25">
      <c r="B330" s="25">
        <v>32752</v>
      </c>
      <c r="C330" s="7">
        <v>2761.3</v>
      </c>
      <c r="D330" s="7">
        <v>2696.7</v>
      </c>
      <c r="E330" s="29">
        <f t="shared" si="10"/>
        <v>-2.3394777822040472E-2</v>
      </c>
      <c r="F330" s="29">
        <f t="shared" si="11"/>
        <v>1.6827585946139311E-3</v>
      </c>
      <c r="G330" s="29">
        <f>F330+'Without VBA'!$F$12*_xlfn.STDEV.P($E$7:$E$374)</f>
        <v>0.16157057372050279</v>
      </c>
      <c r="H330" s="26">
        <f>F330-'Without VBA'!$F$12*_xlfn.STDEV.P($E$7:$E$374)</f>
        <v>-0.15820505653127495</v>
      </c>
    </row>
    <row r="331" spans="2:8" x14ac:dyDescent="0.25">
      <c r="B331" s="25">
        <v>32721</v>
      </c>
      <c r="C331" s="7">
        <v>2709.6</v>
      </c>
      <c r="D331" s="7">
        <v>2741.1</v>
      </c>
      <c r="E331" s="29">
        <f t="shared" si="10"/>
        <v>1.162533215234721E-2</v>
      </c>
      <c r="F331" s="29">
        <f t="shared" si="11"/>
        <v>1.6827585946139311E-3</v>
      </c>
      <c r="G331" s="29">
        <f>F331+'Without VBA'!$F$12*_xlfn.STDEV.P($E$7:$E$374)</f>
        <v>0.16157057372050279</v>
      </c>
      <c r="H331" s="26">
        <f>F331-'Without VBA'!$F$12*_xlfn.STDEV.P($E$7:$E$374)</f>
        <v>-0.15820505653127495</v>
      </c>
    </row>
    <row r="332" spans="2:8" x14ac:dyDescent="0.25">
      <c r="B332" s="25">
        <v>32692</v>
      </c>
      <c r="C332" s="7">
        <v>2571.6999999999998</v>
      </c>
      <c r="D332" s="7">
        <v>2721.3</v>
      </c>
      <c r="E332" s="29">
        <f t="shared" si="10"/>
        <v>5.817163743827055E-2</v>
      </c>
      <c r="F332" s="29">
        <f t="shared" si="11"/>
        <v>1.6827585946139311E-3</v>
      </c>
      <c r="G332" s="29">
        <f>F332+'Without VBA'!$F$12*_xlfn.STDEV.P($E$7:$E$374)</f>
        <v>0.16157057372050279</v>
      </c>
      <c r="H332" s="26">
        <f>F332-'Without VBA'!$F$12*_xlfn.STDEV.P($E$7:$E$374)</f>
        <v>-0.15820505653127495</v>
      </c>
    </row>
    <row r="333" spans="2:8" x14ac:dyDescent="0.25">
      <c r="B333" s="25">
        <v>32660</v>
      </c>
      <c r="C333" s="7">
        <v>2559.8000000000002</v>
      </c>
      <c r="D333" s="7">
        <v>2554.6999999999998</v>
      </c>
      <c r="E333" s="29">
        <f t="shared" si="10"/>
        <v>-1.9923431518088768E-3</v>
      </c>
      <c r="F333" s="29">
        <f t="shared" si="11"/>
        <v>1.6827585946139311E-3</v>
      </c>
      <c r="G333" s="29">
        <f>F333+'Without VBA'!$F$12*_xlfn.STDEV.P($E$7:$E$374)</f>
        <v>0.16157057372050279</v>
      </c>
      <c r="H333" s="26">
        <f>F333-'Without VBA'!$F$12*_xlfn.STDEV.P($E$7:$E$374)</f>
        <v>-0.15820505653127495</v>
      </c>
    </row>
    <row r="334" spans="2:8" x14ac:dyDescent="0.25">
      <c r="B334" s="25">
        <v>32629</v>
      </c>
      <c r="C334" s="7">
        <v>2545</v>
      </c>
      <c r="D334" s="7">
        <v>2572.4</v>
      </c>
      <c r="E334" s="29">
        <f t="shared" si="10"/>
        <v>1.0766208251473513E-2</v>
      </c>
      <c r="F334" s="29">
        <f t="shared" si="11"/>
        <v>1.6827585946139311E-3</v>
      </c>
      <c r="G334" s="29">
        <f>F334+'Without VBA'!$F$12*_xlfn.STDEV.P($E$7:$E$374)</f>
        <v>0.16157057372050279</v>
      </c>
      <c r="H334" s="26">
        <f>F334-'Without VBA'!$F$12*_xlfn.STDEV.P($E$7:$E$374)</f>
        <v>-0.15820505653127495</v>
      </c>
    </row>
    <row r="335" spans="2:8" x14ac:dyDescent="0.25">
      <c r="B335" s="25">
        <v>32601</v>
      </c>
      <c r="C335" s="7">
        <v>2546</v>
      </c>
      <c r="D335" s="7">
        <v>2545</v>
      </c>
      <c r="E335" s="29">
        <f t="shared" si="10"/>
        <v>-3.9277297721916735E-4</v>
      </c>
      <c r="F335" s="29">
        <f t="shared" si="11"/>
        <v>1.6827585946139311E-3</v>
      </c>
      <c r="G335" s="29">
        <f>F335+'Without VBA'!$F$12*_xlfn.STDEV.P($E$7:$E$374)</f>
        <v>0.16157057372050279</v>
      </c>
      <c r="H335" s="26">
        <f>F335-'Without VBA'!$F$12*_xlfn.STDEV.P($E$7:$E$374)</f>
        <v>-0.15820505653127495</v>
      </c>
    </row>
    <row r="336" spans="2:8" x14ac:dyDescent="0.25">
      <c r="B336" s="25">
        <v>32568</v>
      </c>
      <c r="C336" s="7">
        <v>2523.3000000000002</v>
      </c>
      <c r="D336" s="7">
        <v>2557</v>
      </c>
      <c r="E336" s="29">
        <f t="shared" si="10"/>
        <v>1.335552649308438E-2</v>
      </c>
      <c r="F336" s="29">
        <f t="shared" si="11"/>
        <v>1.6827585946139311E-3</v>
      </c>
      <c r="G336" s="29">
        <f>F336+'Without VBA'!$F$12*_xlfn.STDEV.P($E$7:$E$374)</f>
        <v>0.16157057372050279</v>
      </c>
      <c r="H336" s="26">
        <f>F336-'Without VBA'!$F$12*_xlfn.STDEV.P($E$7:$E$374)</f>
        <v>-0.15820505653127495</v>
      </c>
    </row>
    <row r="337" spans="2:8" x14ac:dyDescent="0.25">
      <c r="B337" s="25">
        <v>32540</v>
      </c>
      <c r="C337" s="7">
        <v>2472.1999999999998</v>
      </c>
      <c r="D337" s="7">
        <v>2505.8000000000002</v>
      </c>
      <c r="E337" s="29">
        <f t="shared" si="10"/>
        <v>1.3591133403446471E-2</v>
      </c>
      <c r="F337" s="29">
        <f t="shared" si="11"/>
        <v>1.6827585946139311E-3</v>
      </c>
      <c r="G337" s="29">
        <f>F337+'Without VBA'!$F$12*_xlfn.STDEV.P($E$7:$E$374)</f>
        <v>0.16157057372050279</v>
      </c>
      <c r="H337" s="26">
        <f>F337-'Without VBA'!$F$12*_xlfn.STDEV.P($E$7:$E$374)</f>
        <v>-0.15820505653127495</v>
      </c>
    </row>
    <row r="338" spans="2:8" x14ac:dyDescent="0.25">
      <c r="B338" s="25">
        <v>32510</v>
      </c>
      <c r="C338" s="7">
        <v>2190.5</v>
      </c>
      <c r="D338" s="7">
        <v>2478.3000000000002</v>
      </c>
      <c r="E338" s="29">
        <f t="shared" si="10"/>
        <v>0.13138552841816944</v>
      </c>
      <c r="F338" s="29">
        <f t="shared" si="11"/>
        <v>1.6827585946139311E-3</v>
      </c>
      <c r="G338" s="29">
        <f>F338+'Without VBA'!$F$12*_xlfn.STDEV.P($E$7:$E$374)</f>
        <v>0.16157057372050279</v>
      </c>
      <c r="H338" s="26">
        <f>F338-'Without VBA'!$F$12*_xlfn.STDEV.P($E$7:$E$374)</f>
        <v>-0.15820505653127495</v>
      </c>
    </row>
    <row r="339" spans="2:8" x14ac:dyDescent="0.25">
      <c r="B339" s="25">
        <v>32478</v>
      </c>
      <c r="C339" s="7">
        <v>2212.8000000000002</v>
      </c>
      <c r="D339" s="7">
        <v>2190.5</v>
      </c>
      <c r="E339" s="29">
        <f t="shared" si="10"/>
        <v>-1.007772957339126E-2</v>
      </c>
      <c r="F339" s="29">
        <f t="shared" si="11"/>
        <v>1.6827585946139311E-3</v>
      </c>
      <c r="G339" s="29">
        <f>F339+'Without VBA'!$F$12*_xlfn.STDEV.P($E$7:$E$374)</f>
        <v>0.16157057372050279</v>
      </c>
      <c r="H339" s="26">
        <f>F339-'Without VBA'!$F$12*_xlfn.STDEV.P($E$7:$E$374)</f>
        <v>-0.15820505653127495</v>
      </c>
    </row>
    <row r="340" spans="2:8" x14ac:dyDescent="0.25">
      <c r="B340" s="25">
        <v>32448</v>
      </c>
      <c r="C340" s="7">
        <v>2332.1</v>
      </c>
      <c r="D340" s="7">
        <v>2237.4</v>
      </c>
      <c r="E340" s="29">
        <f t="shared" si="10"/>
        <v>-4.0607178079842127E-2</v>
      </c>
      <c r="F340" s="29">
        <f t="shared" si="11"/>
        <v>1.6827585946139311E-3</v>
      </c>
      <c r="G340" s="29">
        <f>F340+'Without VBA'!$F$12*_xlfn.STDEV.P($E$7:$E$374)</f>
        <v>0.16157057372050279</v>
      </c>
      <c r="H340" s="26">
        <f>F340-'Without VBA'!$F$12*_xlfn.STDEV.P($E$7:$E$374)</f>
        <v>-0.15820505653127495</v>
      </c>
    </row>
    <row r="341" spans="2:8" x14ac:dyDescent="0.25">
      <c r="B341" s="25">
        <v>32419</v>
      </c>
      <c r="C341" s="7">
        <v>2219.9</v>
      </c>
      <c r="D341" s="7">
        <v>2321.1999999999998</v>
      </c>
      <c r="E341" s="29">
        <f t="shared" si="10"/>
        <v>4.5632686157033975E-2</v>
      </c>
      <c r="F341" s="29">
        <f t="shared" si="11"/>
        <v>1.6827585946139311E-3</v>
      </c>
      <c r="G341" s="29">
        <f>F341+'Without VBA'!$F$12*_xlfn.STDEV.P($E$7:$E$374)</f>
        <v>0.16157057372050279</v>
      </c>
      <c r="H341" s="26">
        <f>F341-'Without VBA'!$F$12*_xlfn.STDEV.P($E$7:$E$374)</f>
        <v>-0.15820505653127495</v>
      </c>
    </row>
    <row r="342" spans="2:8" x14ac:dyDescent="0.25">
      <c r="B342" s="25">
        <v>32387</v>
      </c>
      <c r="C342" s="7">
        <v>2130</v>
      </c>
      <c r="D342" s="7">
        <v>2240.9</v>
      </c>
      <c r="E342" s="29">
        <f t="shared" si="10"/>
        <v>5.2065727699530558E-2</v>
      </c>
      <c r="F342" s="29">
        <f t="shared" si="11"/>
        <v>1.6827585946139311E-3</v>
      </c>
      <c r="G342" s="29">
        <f>F342+'Without VBA'!$F$12*_xlfn.STDEV.P($E$7:$E$374)</f>
        <v>0.16157057372050279</v>
      </c>
      <c r="H342" s="26">
        <f>F342-'Without VBA'!$F$12*_xlfn.STDEV.P($E$7:$E$374)</f>
        <v>-0.15820505653127495</v>
      </c>
    </row>
    <row r="343" spans="2:8" x14ac:dyDescent="0.25">
      <c r="B343" s="25">
        <v>32356</v>
      </c>
      <c r="C343" s="7">
        <v>2322.4</v>
      </c>
      <c r="D343" s="7">
        <v>2162.1999999999998</v>
      </c>
      <c r="E343" s="29">
        <f t="shared" si="10"/>
        <v>-6.898036513951096E-2</v>
      </c>
      <c r="F343" s="29">
        <f t="shared" si="11"/>
        <v>1.6827585946139311E-3</v>
      </c>
      <c r="G343" s="29">
        <f>F343+'Without VBA'!$F$12*_xlfn.STDEV.P($E$7:$E$374)</f>
        <v>0.16157057372050279</v>
      </c>
      <c r="H343" s="26">
        <f>F343-'Without VBA'!$F$12*_xlfn.STDEV.P($E$7:$E$374)</f>
        <v>-0.15820505653127495</v>
      </c>
    </row>
    <row r="344" spans="2:8" x14ac:dyDescent="0.25">
      <c r="B344" s="25">
        <v>32325</v>
      </c>
      <c r="C344" s="7">
        <v>2284.1</v>
      </c>
      <c r="D344" s="7">
        <v>2306.3000000000002</v>
      </c>
      <c r="E344" s="29">
        <f t="shared" si="10"/>
        <v>9.7193643010377272E-3</v>
      </c>
      <c r="F344" s="29">
        <f t="shared" si="11"/>
        <v>1.6827585946139311E-3</v>
      </c>
      <c r="G344" s="29">
        <f>F344+'Without VBA'!$F$12*_xlfn.STDEV.P($E$7:$E$374)</f>
        <v>0.16157057372050279</v>
      </c>
      <c r="H344" s="26">
        <f>F344-'Without VBA'!$F$12*_xlfn.STDEV.P($E$7:$E$374)</f>
        <v>-0.15820505653127495</v>
      </c>
    </row>
    <row r="345" spans="2:8" x14ac:dyDescent="0.25">
      <c r="B345" s="25">
        <v>32295</v>
      </c>
      <c r="C345" s="7">
        <v>2192</v>
      </c>
      <c r="D345" s="7">
        <v>2281.3000000000002</v>
      </c>
      <c r="E345" s="29">
        <f t="shared" si="10"/>
        <v>4.0739051094890594E-2</v>
      </c>
      <c r="F345" s="29">
        <f t="shared" si="11"/>
        <v>1.6827585946139311E-3</v>
      </c>
      <c r="G345" s="29">
        <f>F345+'Without VBA'!$F$12*_xlfn.STDEV.P($E$7:$E$374)</f>
        <v>0.16157057372050279</v>
      </c>
      <c r="H345" s="26">
        <f>F345-'Without VBA'!$F$12*_xlfn.STDEV.P($E$7:$E$374)</f>
        <v>-0.15820505653127495</v>
      </c>
    </row>
    <row r="346" spans="2:8" x14ac:dyDescent="0.25">
      <c r="B346" s="25">
        <v>32265</v>
      </c>
      <c r="C346" s="7">
        <v>2174.9</v>
      </c>
      <c r="D346" s="7">
        <v>2178.1</v>
      </c>
      <c r="E346" s="29">
        <f t="shared" si="10"/>
        <v>1.471332015264986E-3</v>
      </c>
      <c r="F346" s="29">
        <f t="shared" si="11"/>
        <v>1.6827585946139311E-3</v>
      </c>
      <c r="G346" s="29">
        <f>F346+'Without VBA'!$F$12*_xlfn.STDEV.P($E$7:$E$374)</f>
        <v>0.16157057372050279</v>
      </c>
      <c r="H346" s="26">
        <f>F346-'Without VBA'!$F$12*_xlfn.STDEV.P($E$7:$E$374)</f>
        <v>-0.15820505653127495</v>
      </c>
    </row>
    <row r="347" spans="2:8" x14ac:dyDescent="0.25">
      <c r="B347" s="25">
        <v>32234</v>
      </c>
      <c r="C347" s="7">
        <v>2094.8000000000002</v>
      </c>
      <c r="D347" s="7">
        <v>2174.9</v>
      </c>
      <c r="E347" s="29">
        <f t="shared" si="10"/>
        <v>3.8237540576665986E-2</v>
      </c>
      <c r="F347" s="29">
        <f t="shared" si="11"/>
        <v>1.6827585946139311E-3</v>
      </c>
      <c r="G347" s="29">
        <f>F347+'Without VBA'!$F$12*_xlfn.STDEV.P($E$7:$E$374)</f>
        <v>0.16157057372050279</v>
      </c>
      <c r="H347" s="26">
        <f>F347-'Without VBA'!$F$12*_xlfn.STDEV.P($E$7:$E$374)</f>
        <v>-0.15820505653127495</v>
      </c>
    </row>
    <row r="348" spans="2:8" x14ac:dyDescent="0.25">
      <c r="B348" s="25">
        <v>32203</v>
      </c>
      <c r="C348" s="7">
        <v>2133</v>
      </c>
      <c r="D348" s="7">
        <v>2094.8000000000002</v>
      </c>
      <c r="E348" s="29">
        <f t="shared" si="10"/>
        <v>-1.790904828879504E-2</v>
      </c>
      <c r="F348" s="29">
        <f t="shared" si="11"/>
        <v>1.6827585946139311E-3</v>
      </c>
      <c r="G348" s="29">
        <f>F348+'Without VBA'!$F$12*_xlfn.STDEV.P($E$7:$E$374)</f>
        <v>0.16157057372050279</v>
      </c>
      <c r="H348" s="26">
        <f>F348-'Without VBA'!$F$12*_xlfn.STDEV.P($E$7:$E$374)</f>
        <v>-0.15820505653127495</v>
      </c>
    </row>
    <row r="349" spans="2:8" x14ac:dyDescent="0.25">
      <c r="B349" s="25">
        <v>32174</v>
      </c>
      <c r="C349" s="7">
        <v>2118</v>
      </c>
      <c r="D349" s="7">
        <v>2120.9</v>
      </c>
      <c r="E349" s="29">
        <f t="shared" si="10"/>
        <v>1.3692162417375312E-3</v>
      </c>
      <c r="F349" s="29">
        <f t="shared" si="11"/>
        <v>1.6827585946139311E-3</v>
      </c>
      <c r="G349" s="29">
        <f>F349+'Without VBA'!$F$12*_xlfn.STDEV.P($E$7:$E$374)</f>
        <v>0.16157057372050279</v>
      </c>
      <c r="H349" s="26">
        <f>F349-'Without VBA'!$F$12*_xlfn.STDEV.P($E$7:$E$374)</f>
        <v>-0.15820505653127495</v>
      </c>
    </row>
    <row r="350" spans="2:8" x14ac:dyDescent="0.25">
      <c r="B350" s="25">
        <v>32143</v>
      </c>
      <c r="C350" s="7">
        <v>1995.5</v>
      </c>
      <c r="D350" s="7">
        <v>2126.1</v>
      </c>
      <c r="E350" s="29">
        <f t="shared" si="10"/>
        <v>6.5447256326735107E-2</v>
      </c>
      <c r="F350" s="29">
        <f t="shared" si="11"/>
        <v>1.6827585946139311E-3</v>
      </c>
      <c r="G350" s="29">
        <f>F350+'Without VBA'!$F$12*_xlfn.STDEV.P($E$7:$E$374)</f>
        <v>0.16157057372050279</v>
      </c>
      <c r="H350" s="26">
        <f>F350-'Without VBA'!$F$12*_xlfn.STDEV.P($E$7:$E$374)</f>
        <v>-0.15820505653127495</v>
      </c>
    </row>
    <row r="351" spans="2:8" x14ac:dyDescent="0.25">
      <c r="B351" s="25">
        <v>32112</v>
      </c>
      <c r="C351" s="7">
        <v>1775.8</v>
      </c>
      <c r="D351" s="7">
        <v>1995.5</v>
      </c>
      <c r="E351" s="29">
        <f t="shared" si="10"/>
        <v>0.12371888726207909</v>
      </c>
      <c r="F351" s="29">
        <f t="shared" si="11"/>
        <v>1.6827585946139311E-3</v>
      </c>
      <c r="G351" s="29">
        <f>F351+'Without VBA'!$F$12*_xlfn.STDEV.P($E$7:$E$374)</f>
        <v>0.16157057372050279</v>
      </c>
      <c r="H351" s="26">
        <f>F351-'Without VBA'!$F$12*_xlfn.STDEV.P($E$7:$E$374)</f>
        <v>-0.15820505653127495</v>
      </c>
    </row>
    <row r="352" spans="2:8" x14ac:dyDescent="0.25">
      <c r="B352" s="25">
        <v>32083</v>
      </c>
      <c r="C352" s="7">
        <v>1967.5</v>
      </c>
      <c r="D352" s="7">
        <v>1773.5</v>
      </c>
      <c r="E352" s="29">
        <f t="shared" si="10"/>
        <v>-9.8602287166454888E-2</v>
      </c>
      <c r="F352" s="29">
        <f t="shared" si="11"/>
        <v>1.6827585946139311E-3</v>
      </c>
      <c r="G352" s="29">
        <f>F352+'Without VBA'!$F$12*_xlfn.STDEV.P($E$7:$E$374)</f>
        <v>0.16157057372050279</v>
      </c>
      <c r="H352" s="26">
        <f>F352-'Without VBA'!$F$12*_xlfn.STDEV.P($E$7:$E$374)</f>
        <v>-0.15820505653127495</v>
      </c>
    </row>
    <row r="353" spans="2:8" x14ac:dyDescent="0.25">
      <c r="B353" s="25">
        <v>32051</v>
      </c>
      <c r="C353" s="7">
        <v>2815</v>
      </c>
      <c r="D353" s="7">
        <v>1985.1</v>
      </c>
      <c r="E353" s="29">
        <f t="shared" si="10"/>
        <v>-0.29481349911190058</v>
      </c>
      <c r="F353" s="29">
        <f t="shared" si="11"/>
        <v>1.6827585946139311E-3</v>
      </c>
      <c r="G353" s="29">
        <f>F353+'Without VBA'!$F$12*_xlfn.STDEV.P($E$7:$E$374)</f>
        <v>0.16157057372050279</v>
      </c>
      <c r="H353" s="26">
        <f>F353-'Without VBA'!$F$12*_xlfn.STDEV.P($E$7:$E$374)</f>
        <v>-0.15820505653127495</v>
      </c>
    </row>
    <row r="354" spans="2:8" x14ac:dyDescent="0.25">
      <c r="B354" s="25">
        <v>32021</v>
      </c>
      <c r="C354" s="7">
        <v>2626.1</v>
      </c>
      <c r="D354" s="7">
        <v>2784.5</v>
      </c>
      <c r="E354" s="29">
        <f t="shared" si="10"/>
        <v>6.0317581204066904E-2</v>
      </c>
      <c r="F354" s="29">
        <f t="shared" si="11"/>
        <v>1.6827585946139311E-3</v>
      </c>
      <c r="G354" s="29">
        <f>F354+'Without VBA'!$F$12*_xlfn.STDEV.P($E$7:$E$374)</f>
        <v>0.16157057372050279</v>
      </c>
      <c r="H354" s="26">
        <f>F354-'Without VBA'!$F$12*_xlfn.STDEV.P($E$7:$E$374)</f>
        <v>-0.15820505653127495</v>
      </c>
    </row>
    <row r="355" spans="2:8" x14ac:dyDescent="0.25">
      <c r="B355" s="25">
        <v>31992</v>
      </c>
      <c r="C355" s="7">
        <v>2706.5</v>
      </c>
      <c r="D355" s="7">
        <v>2614.6999999999998</v>
      </c>
      <c r="E355" s="29">
        <f t="shared" si="10"/>
        <v>-3.3918344725660514E-2</v>
      </c>
      <c r="F355" s="29">
        <f t="shared" si="11"/>
        <v>1.6827585946139311E-3</v>
      </c>
      <c r="G355" s="29">
        <f>F355+'Without VBA'!$F$12*_xlfn.STDEV.P($E$7:$E$374)</f>
        <v>0.16157057372050279</v>
      </c>
      <c r="H355" s="26">
        <f>F355-'Without VBA'!$F$12*_xlfn.STDEV.P($E$7:$E$374)</f>
        <v>-0.15820505653127495</v>
      </c>
    </row>
    <row r="356" spans="2:8" x14ac:dyDescent="0.25">
      <c r="B356" s="25">
        <v>31959</v>
      </c>
      <c r="C356" s="7">
        <v>2597.4</v>
      </c>
      <c r="D356" s="7">
        <v>2743.5</v>
      </c>
      <c r="E356" s="29">
        <f t="shared" si="10"/>
        <v>5.6248556248556209E-2</v>
      </c>
      <c r="F356" s="29">
        <f t="shared" si="11"/>
        <v>1.6827585946139311E-3</v>
      </c>
      <c r="G356" s="29">
        <f>F356+'Without VBA'!$F$12*_xlfn.STDEV.P($E$7:$E$374)</f>
        <v>0.16157057372050279</v>
      </c>
      <c r="H356" s="26">
        <f>F356-'Without VBA'!$F$12*_xlfn.STDEV.P($E$7:$E$374)</f>
        <v>-0.15820505653127495</v>
      </c>
    </row>
    <row r="357" spans="2:8" x14ac:dyDescent="0.25">
      <c r="B357" s="25">
        <v>31929</v>
      </c>
      <c r="C357" s="7">
        <v>2424.6999999999998</v>
      </c>
      <c r="D357" s="7">
        <v>2594.9</v>
      </c>
      <c r="E357" s="29">
        <f t="shared" si="10"/>
        <v>7.0194250835154987E-2</v>
      </c>
      <c r="F357" s="29">
        <f t="shared" si="11"/>
        <v>1.6827585946139311E-3</v>
      </c>
      <c r="G357" s="29">
        <f>F357+'Without VBA'!$F$12*_xlfn.STDEV.P($E$7:$E$374)</f>
        <v>0.16157057372050279</v>
      </c>
      <c r="H357" s="26">
        <f>F357-'Without VBA'!$F$12*_xlfn.STDEV.P($E$7:$E$374)</f>
        <v>-0.15820505653127495</v>
      </c>
    </row>
    <row r="358" spans="2:8" x14ac:dyDescent="0.25">
      <c r="B358" s="25">
        <v>31898</v>
      </c>
      <c r="C358" s="7">
        <v>2277.6</v>
      </c>
      <c r="D358" s="7">
        <v>2401.9</v>
      </c>
      <c r="E358" s="29">
        <f t="shared" si="10"/>
        <v>5.4574991218826918E-2</v>
      </c>
      <c r="F358" s="29">
        <f t="shared" si="11"/>
        <v>1.6827585946139311E-3</v>
      </c>
      <c r="G358" s="29">
        <f>F358+'Without VBA'!$F$12*_xlfn.STDEV.P($E$7:$E$374)</f>
        <v>0.16157057372050279</v>
      </c>
      <c r="H358" s="26">
        <f>F358-'Without VBA'!$F$12*_xlfn.STDEV.P($E$7:$E$374)</f>
        <v>-0.15820505653127495</v>
      </c>
    </row>
    <row r="359" spans="2:8" x14ac:dyDescent="0.25">
      <c r="B359" s="25">
        <v>31868</v>
      </c>
      <c r="C359" s="7">
        <v>2210.3000000000002</v>
      </c>
      <c r="D359" s="7">
        <v>2258.4</v>
      </c>
      <c r="E359" s="29">
        <f t="shared" si="10"/>
        <v>2.1761751798398364E-2</v>
      </c>
      <c r="F359" s="29">
        <f t="shared" si="11"/>
        <v>1.6827585946139311E-3</v>
      </c>
      <c r="G359" s="29">
        <f>F359+'Without VBA'!$F$12*_xlfn.STDEV.P($E$7:$E$374)</f>
        <v>0.16157057372050279</v>
      </c>
      <c r="H359" s="26">
        <f>F359-'Without VBA'!$F$12*_xlfn.STDEV.P($E$7:$E$374)</f>
        <v>-0.15820505653127495</v>
      </c>
    </row>
    <row r="360" spans="2:8" x14ac:dyDescent="0.25">
      <c r="B360" s="25">
        <v>31838</v>
      </c>
      <c r="C360" s="7">
        <v>2180.1</v>
      </c>
      <c r="D360" s="7">
        <v>2233.6999999999998</v>
      </c>
      <c r="E360" s="29">
        <f t="shared" si="10"/>
        <v>2.4586028163845655E-2</v>
      </c>
      <c r="F360" s="29">
        <f t="shared" si="11"/>
        <v>1.6827585946139311E-3</v>
      </c>
      <c r="G360" s="29">
        <f>F360+'Without VBA'!$F$12*_xlfn.STDEV.P($E$7:$E$374)</f>
        <v>0.16157057372050279</v>
      </c>
      <c r="H360" s="26">
        <f>F360-'Without VBA'!$F$12*_xlfn.STDEV.P($E$7:$E$374)</f>
        <v>-0.15820505653127495</v>
      </c>
    </row>
    <row r="361" spans="2:8" x14ac:dyDescent="0.25">
      <c r="B361" s="25">
        <v>31810</v>
      </c>
      <c r="C361" s="7">
        <v>2034.3</v>
      </c>
      <c r="D361" s="7">
        <v>2160.1</v>
      </c>
      <c r="E361" s="29">
        <f t="shared" si="10"/>
        <v>6.183945337462516E-2</v>
      </c>
      <c r="F361" s="29">
        <f t="shared" si="11"/>
        <v>1.6827585946139311E-3</v>
      </c>
      <c r="G361" s="29">
        <f>F361+'Without VBA'!$F$12*_xlfn.STDEV.P($E$7:$E$374)</f>
        <v>0.16157057372050279</v>
      </c>
      <c r="H361" s="26">
        <f>F361-'Without VBA'!$F$12*_xlfn.STDEV.P($E$7:$E$374)</f>
        <v>-0.15820505653127495</v>
      </c>
    </row>
    <row r="362" spans="2:8" x14ac:dyDescent="0.25">
      <c r="B362" s="25">
        <v>31778</v>
      </c>
      <c r="C362" s="7">
        <v>1845</v>
      </c>
      <c r="D362" s="7">
        <v>2020.5</v>
      </c>
      <c r="E362" s="29">
        <f t="shared" si="10"/>
        <v>9.5121951219512196E-2</v>
      </c>
      <c r="F362" s="29">
        <f t="shared" si="11"/>
        <v>1.6827585946139311E-3</v>
      </c>
      <c r="G362" s="29">
        <f>F362+'Without VBA'!$F$12*_xlfn.STDEV.P($E$7:$E$374)</f>
        <v>0.16157057372050279</v>
      </c>
      <c r="H362" s="26">
        <f>F362-'Without VBA'!$F$12*_xlfn.STDEV.P($E$7:$E$374)</f>
        <v>-0.15820505653127495</v>
      </c>
    </row>
    <row r="363" spans="2:8" x14ac:dyDescent="0.25">
      <c r="B363" s="25">
        <v>31747</v>
      </c>
      <c r="C363" s="7">
        <v>1812.5</v>
      </c>
      <c r="D363" s="7">
        <v>1845</v>
      </c>
      <c r="E363" s="29">
        <f t="shared" si="10"/>
        <v>1.793103448275862E-2</v>
      </c>
      <c r="F363" s="29">
        <f t="shared" si="11"/>
        <v>1.6827585946139311E-3</v>
      </c>
      <c r="G363" s="29">
        <f>F363+'Without VBA'!$F$12*_xlfn.STDEV.P($E$7:$E$374)</f>
        <v>0.16157057372050279</v>
      </c>
      <c r="H363" s="26">
        <f>F363-'Without VBA'!$F$12*_xlfn.STDEV.P($E$7:$E$374)</f>
        <v>-0.15820505653127495</v>
      </c>
    </row>
    <row r="364" spans="2:8" x14ac:dyDescent="0.25">
      <c r="B364" s="25">
        <v>31719</v>
      </c>
      <c r="C364" s="7">
        <v>1787.8</v>
      </c>
      <c r="D364" s="7">
        <v>1823</v>
      </c>
      <c r="E364" s="29">
        <f t="shared" si="10"/>
        <v>1.9689003244210787E-2</v>
      </c>
      <c r="F364" s="29">
        <f t="shared" si="11"/>
        <v>1.6827585946139311E-3</v>
      </c>
      <c r="G364" s="29">
        <f>F364+'Without VBA'!$F$12*_xlfn.STDEV.P($E$7:$E$374)</f>
        <v>0.16157057372050279</v>
      </c>
      <c r="H364" s="26">
        <f>F364-'Without VBA'!$F$12*_xlfn.STDEV.P($E$7:$E$374)</f>
        <v>-0.15820505653127495</v>
      </c>
    </row>
    <row r="365" spans="2:8" x14ac:dyDescent="0.25">
      <c r="B365" s="25">
        <v>31686</v>
      </c>
      <c r="C365" s="7">
        <v>1694.4</v>
      </c>
      <c r="D365" s="7">
        <v>1778.6</v>
      </c>
      <c r="E365" s="29">
        <f t="shared" si="10"/>
        <v>4.9693106704438036E-2</v>
      </c>
      <c r="F365" s="29">
        <f t="shared" si="11"/>
        <v>1.6827585946139311E-3</v>
      </c>
      <c r="G365" s="29">
        <f>F365+'Without VBA'!$F$12*_xlfn.STDEV.P($E$7:$E$374)</f>
        <v>0.16157057372050279</v>
      </c>
      <c r="H365" s="26">
        <f>F365-'Without VBA'!$F$12*_xlfn.STDEV.P($E$7:$E$374)</f>
        <v>-0.15820505653127495</v>
      </c>
    </row>
    <row r="366" spans="2:8" x14ac:dyDescent="0.25">
      <c r="B366" s="25">
        <v>31656</v>
      </c>
      <c r="C366" s="7">
        <v>1804.4</v>
      </c>
      <c r="D366" s="7">
        <v>1688.8</v>
      </c>
      <c r="E366" s="29">
        <f t="shared" si="10"/>
        <v>-6.4065617379738496E-2</v>
      </c>
      <c r="F366" s="29">
        <f t="shared" si="11"/>
        <v>1.6827585946139311E-3</v>
      </c>
      <c r="G366" s="29">
        <f>F366+'Without VBA'!$F$12*_xlfn.STDEV.P($E$7:$E$374)</f>
        <v>0.16157057372050279</v>
      </c>
      <c r="H366" s="26">
        <f>F366-'Without VBA'!$F$12*_xlfn.STDEV.P($E$7:$E$374)</f>
        <v>-0.15820505653127495</v>
      </c>
    </row>
    <row r="367" spans="2:8" x14ac:dyDescent="0.25">
      <c r="B367" s="25">
        <v>31625</v>
      </c>
      <c r="C367" s="7">
        <v>1717.3</v>
      </c>
      <c r="D367" s="7">
        <v>1787.6</v>
      </c>
      <c r="E367" s="29">
        <f t="shared" si="10"/>
        <v>4.0936353578291479E-2</v>
      </c>
      <c r="F367" s="29">
        <f t="shared" si="11"/>
        <v>1.6827585946139311E-3</v>
      </c>
      <c r="G367" s="29">
        <f>F367+'Without VBA'!$F$12*_xlfn.STDEV.P($E$7:$E$374)</f>
        <v>0.16157057372050279</v>
      </c>
      <c r="H367" s="26">
        <f>F367-'Without VBA'!$F$12*_xlfn.STDEV.P($E$7:$E$374)</f>
        <v>-0.15820505653127495</v>
      </c>
    </row>
    <row r="368" spans="2:8" x14ac:dyDescent="0.25">
      <c r="B368" s="25">
        <v>31594</v>
      </c>
      <c r="C368" s="7">
        <v>1816.9</v>
      </c>
      <c r="D368" s="7">
        <v>1715.1</v>
      </c>
      <c r="E368" s="29">
        <f t="shared" si="10"/>
        <v>-5.602950079806273E-2</v>
      </c>
      <c r="F368" s="29">
        <f t="shared" si="11"/>
        <v>1.6827585946139311E-3</v>
      </c>
      <c r="G368" s="29">
        <f>F368+'Without VBA'!$F$12*_xlfn.STDEV.P($E$7:$E$374)</f>
        <v>0.16157057372050279</v>
      </c>
      <c r="H368" s="26">
        <f>F368-'Without VBA'!$F$12*_xlfn.STDEV.P($E$7:$E$374)</f>
        <v>-0.15820505653127495</v>
      </c>
    </row>
    <row r="369" spans="2:8" x14ac:dyDescent="0.25">
      <c r="B369" s="25">
        <v>31565</v>
      </c>
      <c r="C369" s="7">
        <v>1728.7</v>
      </c>
      <c r="D369" s="7">
        <v>1799.3</v>
      </c>
      <c r="E369" s="29">
        <f t="shared" si="10"/>
        <v>4.0839937525307984E-2</v>
      </c>
      <c r="F369" s="29">
        <f t="shared" si="11"/>
        <v>1.6827585946139311E-3</v>
      </c>
      <c r="G369" s="29">
        <f>F369+'Without VBA'!$F$12*_xlfn.STDEV.P($E$7:$E$374)</f>
        <v>0.16157057372050279</v>
      </c>
      <c r="H369" s="26">
        <f>F369-'Without VBA'!$F$12*_xlfn.STDEV.P($E$7:$E$374)</f>
        <v>-0.15820505653127495</v>
      </c>
    </row>
    <row r="370" spans="2:8" x14ac:dyDescent="0.25">
      <c r="B370" s="25">
        <v>31533</v>
      </c>
      <c r="C370" s="7">
        <v>1775.3</v>
      </c>
      <c r="D370" s="7">
        <v>1729.1</v>
      </c>
      <c r="E370" s="29">
        <f t="shared" si="10"/>
        <v>-2.602377063031603E-2</v>
      </c>
      <c r="F370" s="29">
        <f t="shared" si="11"/>
        <v>1.6827585946139311E-3</v>
      </c>
      <c r="G370" s="29">
        <f>F370+'Without VBA'!$F$12*_xlfn.STDEV.P($E$7:$E$374)</f>
        <v>0.16157057372050279</v>
      </c>
      <c r="H370" s="26">
        <f>F370-'Without VBA'!$F$12*_xlfn.STDEV.P($E$7:$E$374)</f>
        <v>-0.15820505653127495</v>
      </c>
    </row>
    <row r="371" spans="2:8" x14ac:dyDescent="0.25">
      <c r="B371" s="25">
        <v>31503</v>
      </c>
      <c r="C371" s="7">
        <v>1749.7</v>
      </c>
      <c r="D371" s="7">
        <v>1790</v>
      </c>
      <c r="E371" s="29">
        <f t="shared" si="10"/>
        <v>2.3032519860547496E-2</v>
      </c>
      <c r="F371" s="29">
        <f t="shared" si="11"/>
        <v>1.6827585946139311E-3</v>
      </c>
      <c r="G371" s="29">
        <f>F371+'Without VBA'!$F$12*_xlfn.STDEV.P($E$7:$E$374)</f>
        <v>0.16157057372050279</v>
      </c>
      <c r="H371" s="26">
        <f>F371-'Without VBA'!$F$12*_xlfn.STDEV.P($E$7:$E$374)</f>
        <v>-0.15820505653127495</v>
      </c>
    </row>
    <row r="372" spans="2:8" x14ac:dyDescent="0.25">
      <c r="B372" s="25">
        <v>31474</v>
      </c>
      <c r="C372" s="7">
        <v>1603.7</v>
      </c>
      <c r="D372" s="7">
        <v>1729.7</v>
      </c>
      <c r="E372" s="29">
        <f t="shared" si="10"/>
        <v>7.8568310781318193E-2</v>
      </c>
      <c r="F372" s="29">
        <f t="shared" si="11"/>
        <v>1.6827585946139311E-3</v>
      </c>
      <c r="G372" s="29">
        <f>F372+'Without VBA'!$F$12*_xlfn.STDEV.P($E$7:$E$374)</f>
        <v>0.16157057372050279</v>
      </c>
      <c r="H372" s="26">
        <f>F372-'Without VBA'!$F$12*_xlfn.STDEV.P($E$7:$E$374)</f>
        <v>-0.15820505653127495</v>
      </c>
    </row>
    <row r="373" spans="2:8" x14ac:dyDescent="0.25">
      <c r="B373" s="25">
        <v>31446</v>
      </c>
      <c r="C373" s="7">
        <v>1472.1</v>
      </c>
      <c r="D373" s="7">
        <v>1605.7</v>
      </c>
      <c r="E373" s="29">
        <f t="shared" si="10"/>
        <v>9.075470416411939E-2</v>
      </c>
      <c r="F373" s="29">
        <f t="shared" si="11"/>
        <v>1.6827585946139311E-3</v>
      </c>
      <c r="G373" s="29">
        <f>F373+'Without VBA'!$F$12*_xlfn.STDEV.P($E$7:$E$374)</f>
        <v>0.16157057372050279</v>
      </c>
      <c r="H373" s="26">
        <f>F373-'Without VBA'!$F$12*_xlfn.STDEV.P($E$7:$E$374)</f>
        <v>-0.15820505653127495</v>
      </c>
    </row>
    <row r="374" spans="2:8" ht="15.75" thickBot="1" x14ac:dyDescent="0.3">
      <c r="B374" s="27">
        <v>31413</v>
      </c>
      <c r="C374" s="10">
        <v>1440.4</v>
      </c>
      <c r="D374" s="10">
        <v>1477.1</v>
      </c>
      <c r="E374" s="30">
        <f t="shared" si="10"/>
        <v>2.5479033601777158E-2</v>
      </c>
      <c r="F374" s="30">
        <f t="shared" si="11"/>
        <v>1.6827585946139311E-3</v>
      </c>
      <c r="G374" s="30">
        <f>F374+'Without VBA'!$F$12*_xlfn.STDEV.P($E$7:$E$374)</f>
        <v>0.16157057372050279</v>
      </c>
      <c r="H374" s="28">
        <f>F374-'Without VBA'!$F$12*_xlfn.STDEV.P($E$7:$E$374)</f>
        <v>-0.15820505653127495</v>
      </c>
    </row>
  </sheetData>
  <hyperlinks>
    <hyperlink ref="B3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VBA Code Basics</vt:lpstr>
      <vt:lpstr>Without VBA</vt:lpstr>
      <vt:lpstr>Raw Data</vt:lpstr>
    </vt:vector>
  </TitlesOfParts>
  <Company>Information Management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Burnie</dc:creator>
  <cp:lastModifiedBy>Andrew Burnie</cp:lastModifiedBy>
  <dcterms:created xsi:type="dcterms:W3CDTF">2016-08-17T10:16:29Z</dcterms:created>
  <dcterms:modified xsi:type="dcterms:W3CDTF">2016-08-18T08:51:27Z</dcterms:modified>
</cp:coreProperties>
</file>